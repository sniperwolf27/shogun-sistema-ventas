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nado\Desktop\MAIN\SHOGUN\shogun-sistema-ventas\data\"/>
    </mc:Choice>
  </mc:AlternateContent>
  <xr:revisionPtr revIDLastSave="0" documentId="8_{E3C70EBC-F4BB-4B60-964A-657EBC6BAC95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1. Catálogo" sheetId="1" r:id="rId1"/>
    <sheet name="2. Pedidos" sheetId="2" r:id="rId2"/>
    <sheet name="3. Dashboard" sheetId="3" r:id="rId3"/>
    <sheet name="4. Clientes" sheetId="4" r:id="rId4"/>
    <sheet name="5. Inventario" sheetId="5" r:id="rId5"/>
    <sheet name="6. Finanzas" sheetId="6" r:id="rId6"/>
    <sheet name="7. Instrucciones" sheetId="7" r:id="rId7"/>
  </sheets>
  <calcPr calcId="191029"/>
</workbook>
</file>

<file path=xl/calcChain.xml><?xml version="1.0" encoding="utf-8"?>
<calcChain xmlns="http://schemas.openxmlformats.org/spreadsheetml/2006/main">
  <c r="D16" i="6" l="1"/>
  <c r="C16" i="6"/>
  <c r="D15" i="6"/>
  <c r="D14" i="6"/>
  <c r="D13" i="6"/>
  <c r="C8" i="6"/>
  <c r="C6" i="6"/>
  <c r="C7" i="6" s="1"/>
  <c r="C5" i="6"/>
  <c r="C4" i="6"/>
  <c r="C9" i="6" s="1"/>
  <c r="F6" i="5"/>
  <c r="G6" i="5" s="1"/>
  <c r="H6" i="5" s="1"/>
  <c r="E6" i="5"/>
  <c r="G5" i="5"/>
  <c r="H5" i="5" s="1"/>
  <c r="F5" i="5"/>
  <c r="E5" i="5"/>
  <c r="F4" i="5"/>
  <c r="G4" i="5" s="1"/>
  <c r="H4" i="5" s="1"/>
  <c r="E4" i="5"/>
  <c r="I4" i="4"/>
  <c r="G4" i="4"/>
  <c r="J4" i="4" s="1"/>
  <c r="C17" i="3"/>
  <c r="C16" i="3"/>
  <c r="C15" i="3"/>
  <c r="C14" i="3"/>
  <c r="F12" i="3"/>
  <c r="F11" i="3"/>
  <c r="F10" i="3"/>
  <c r="F7" i="3"/>
  <c r="F6" i="3"/>
  <c r="C4" i="3"/>
  <c r="U12" i="2"/>
  <c r="V12" i="2" s="1"/>
  <c r="T12" i="2"/>
  <c r="F12" i="2"/>
  <c r="E12" i="2"/>
  <c r="T11" i="2"/>
  <c r="F11" i="2"/>
  <c r="E11" i="2"/>
  <c r="T10" i="2"/>
  <c r="F10" i="2"/>
  <c r="E10" i="2"/>
  <c r="T9" i="2"/>
  <c r="F5" i="3" s="1"/>
  <c r="F9" i="2"/>
  <c r="E9" i="2"/>
  <c r="T8" i="2"/>
  <c r="F8" i="2"/>
  <c r="E8" i="2"/>
  <c r="T7" i="2"/>
  <c r="C14" i="6" s="1"/>
  <c r="F7" i="2"/>
  <c r="E7" i="2"/>
  <c r="T6" i="2"/>
  <c r="F6" i="2"/>
  <c r="E6" i="2"/>
  <c r="U5" i="2"/>
  <c r="V5" i="2" s="1"/>
  <c r="T5" i="2"/>
  <c r="F5" i="2"/>
  <c r="E5" i="2"/>
  <c r="U4" i="2"/>
  <c r="T4" i="2"/>
  <c r="V4" i="2" s="1"/>
  <c r="F4" i="2"/>
  <c r="C13" i="3" s="1"/>
  <c r="E4" i="2"/>
  <c r="G9" i="1"/>
  <c r="H9" i="1" s="1"/>
  <c r="I9" i="1" s="1"/>
  <c r="G8" i="1"/>
  <c r="H8" i="1" s="1"/>
  <c r="I8" i="1" s="1"/>
  <c r="H7" i="1"/>
  <c r="I7" i="1" s="1"/>
  <c r="G7" i="1"/>
  <c r="H6" i="1"/>
  <c r="I6" i="1" s="1"/>
  <c r="G6" i="1"/>
  <c r="U8" i="2" s="1"/>
  <c r="H5" i="1"/>
  <c r="I5" i="1" s="1"/>
  <c r="G5" i="1"/>
  <c r="U9" i="2" s="1"/>
  <c r="G4" i="1"/>
  <c r="H4" i="1" s="1"/>
  <c r="I4" i="1" s="1"/>
  <c r="V8" i="2" l="1"/>
  <c r="C8" i="3" s="1"/>
  <c r="U6" i="2"/>
  <c r="V6" i="2" s="1"/>
  <c r="C7" i="3" s="1"/>
  <c r="V9" i="2"/>
  <c r="C13" i="6"/>
  <c r="U11" i="2"/>
  <c r="V11" i="2" s="1"/>
  <c r="F4" i="3"/>
  <c r="C9" i="3"/>
  <c r="C5" i="3"/>
  <c r="H4" i="4"/>
  <c r="U10" i="2"/>
  <c r="V10" i="2" s="1"/>
  <c r="C15" i="6"/>
  <c r="U7" i="2"/>
  <c r="V7" i="2" s="1"/>
  <c r="C6" i="3" l="1"/>
</calcChain>
</file>

<file path=xl/sharedStrings.xml><?xml version="1.0" encoding="utf-8"?>
<sst xmlns="http://schemas.openxmlformats.org/spreadsheetml/2006/main" count="280" uniqueCount="183">
  <si>
    <t>CATÁLOGO DE PRODUCTOS Y SERVICIOS</t>
  </si>
  <si>
    <t>Código SKU</t>
  </si>
  <si>
    <t>Nombre Producto</t>
  </si>
  <si>
    <t>Categoría</t>
  </si>
  <si>
    <t>Precio Base</t>
  </si>
  <si>
    <t>Costo Material</t>
  </si>
  <si>
    <t>Costo Mano Obra</t>
  </si>
  <si>
    <t>Costo Total</t>
  </si>
  <si>
    <t>Margen $</t>
  </si>
  <si>
    <t>Margen %</t>
  </si>
  <si>
    <t>Tiempo Prod. (días)</t>
  </si>
  <si>
    <t>TS-BL-OS</t>
  </si>
  <si>
    <t>T-shirt Blanco Oversize</t>
  </si>
  <si>
    <t>Camisetas</t>
  </si>
  <si>
    <t>TS-NEG-ST</t>
  </si>
  <si>
    <t>T-shirt Negro Standard</t>
  </si>
  <si>
    <t>HD-NEG-ST</t>
  </si>
  <si>
    <t>Hoodie Negro Standard</t>
  </si>
  <si>
    <t>Hoodies</t>
  </si>
  <si>
    <t>HD-BL-ST</t>
  </si>
  <si>
    <t>Hoodie Blanco Standard</t>
  </si>
  <si>
    <t>ABR-NEG</t>
  </si>
  <si>
    <t>Abrigo Negro</t>
  </si>
  <si>
    <t>Abrigos</t>
  </si>
  <si>
    <t>TS-CUST</t>
  </si>
  <si>
    <t>T-shirt Personalizado</t>
  </si>
  <si>
    <t>SERVICIOS DE PERSONALIZACIÓN</t>
  </si>
  <si>
    <t>Código</t>
  </si>
  <si>
    <t>Tipo Personalización</t>
  </si>
  <si>
    <t>Precio</t>
  </si>
  <si>
    <t>Tiempo Adicional (días)</t>
  </si>
  <si>
    <t>Descripción</t>
  </si>
  <si>
    <t>Activo</t>
  </si>
  <si>
    <t>BORD-FRNT</t>
  </si>
  <si>
    <t>Bordado Frontal</t>
  </si>
  <si>
    <t>Bordado simple en frente</t>
  </si>
  <si>
    <t>Sí</t>
  </si>
  <si>
    <t>BORD-BACK</t>
  </si>
  <si>
    <t>Bordado Espalda</t>
  </si>
  <si>
    <t>Bordado simple en espalda</t>
  </si>
  <si>
    <t>BORD-DBL</t>
  </si>
  <si>
    <t>Bordado Doble</t>
  </si>
  <si>
    <t>Bordado frente y espalda</t>
  </si>
  <si>
    <t>PRINT-FRNT</t>
  </si>
  <si>
    <t>Estampado Frontal</t>
  </si>
  <si>
    <t>Estampado en frente</t>
  </si>
  <si>
    <t>EMBROID-LUX</t>
  </si>
  <si>
    <t>Bordado Lujo</t>
  </si>
  <si>
    <t>Bordado complejo multicolor</t>
  </si>
  <si>
    <t>REGISTRO DE PEDIDOS</t>
  </si>
  <si>
    <t>ID</t>
  </si>
  <si>
    <t>Fecha Pago</t>
  </si>
  <si>
    <t>Fecha Compromiso</t>
  </si>
  <si>
    <t>Fecha Entrega Real</t>
  </si>
  <si>
    <t>Días Prod.</t>
  </si>
  <si>
    <t>Días Retraso</t>
  </si>
  <si>
    <t>SKU Producto</t>
  </si>
  <si>
    <t>Producto</t>
  </si>
  <si>
    <t>Talla</t>
  </si>
  <si>
    <t>Personalización</t>
  </si>
  <si>
    <t>Costo Person.</t>
  </si>
  <si>
    <t>Cliente</t>
  </si>
  <si>
    <t>Teléfono</t>
  </si>
  <si>
    <t>Email</t>
  </si>
  <si>
    <t>Dirección</t>
  </si>
  <si>
    <t>Canal</t>
  </si>
  <si>
    <t>Precio Producto</t>
  </si>
  <si>
    <t>Precio Person.</t>
  </si>
  <si>
    <t>Precio Envío</t>
  </si>
  <si>
    <t>Precio Total</t>
  </si>
  <si>
    <t>Ganancia</t>
  </si>
  <si>
    <t>Banco</t>
  </si>
  <si>
    <t>Estatus Pago</t>
  </si>
  <si>
    <t>Estatus Producción</t>
  </si>
  <si>
    <t>P0001</t>
  </si>
  <si>
    <t>22/01/2026</t>
  </si>
  <si>
    <t>07/02/2026</t>
  </si>
  <si>
    <t>T-shirt blanco Oversize</t>
  </si>
  <si>
    <t>L</t>
  </si>
  <si>
    <t>Dos bordados en frente y uno en la espalda</t>
  </si>
  <si>
    <t>Ana</t>
  </si>
  <si>
    <t>WS</t>
  </si>
  <si>
    <t>Vimenpaq</t>
  </si>
  <si>
    <t>WhatsApp</t>
  </si>
  <si>
    <t>Popular</t>
  </si>
  <si>
    <t>Recibido</t>
  </si>
  <si>
    <t>En Producción</t>
  </si>
  <si>
    <t>P0002</t>
  </si>
  <si>
    <t>15/01/2026</t>
  </si>
  <si>
    <t>02/02/2026</t>
  </si>
  <si>
    <t>Hoodie negro</t>
  </si>
  <si>
    <t>M</t>
  </si>
  <si>
    <t>Frente bordado</t>
  </si>
  <si>
    <t>Nahomy Rousmery Guerrero</t>
  </si>
  <si>
    <t>Vimenpaq Villa Mella</t>
  </si>
  <si>
    <t>P0003</t>
  </si>
  <si>
    <t>16/02/2026</t>
  </si>
  <si>
    <t>T-shirt negro</t>
  </si>
  <si>
    <t>Arlin Tomas</t>
  </si>
  <si>
    <t>Vimenpaq San Pedro</t>
  </si>
  <si>
    <t>P0004</t>
  </si>
  <si>
    <t>30/01/2026</t>
  </si>
  <si>
    <t>14/02/2026</t>
  </si>
  <si>
    <t>Camila Joselin</t>
  </si>
  <si>
    <t>Pendiente</t>
  </si>
  <si>
    <t>Banreservas</t>
  </si>
  <si>
    <t>Bloqueado - Sin Dirección</t>
  </si>
  <si>
    <t>P0005</t>
  </si>
  <si>
    <t>27/01/2026</t>
  </si>
  <si>
    <t>09/02/2026</t>
  </si>
  <si>
    <t>Un bordado en frente y uno espalda</t>
  </si>
  <si>
    <t>Alessia Previtali</t>
  </si>
  <si>
    <t>Vimenpaq Bayahibe</t>
  </si>
  <si>
    <t>P0006</t>
  </si>
  <si>
    <t>19/01/2026</t>
  </si>
  <si>
    <t>03/02/2026</t>
  </si>
  <si>
    <t>Laiza Cesarina De la Cruz</t>
  </si>
  <si>
    <t>IG</t>
  </si>
  <si>
    <t>Instagram</t>
  </si>
  <si>
    <t>P0007</t>
  </si>
  <si>
    <t>24/01/2026</t>
  </si>
  <si>
    <t>S</t>
  </si>
  <si>
    <t>Luz Rosmeri Morrobel</t>
  </si>
  <si>
    <t>BHD</t>
  </si>
  <si>
    <t>P0008</t>
  </si>
  <si>
    <t>04/02/2026</t>
  </si>
  <si>
    <t>13/02/2026</t>
  </si>
  <si>
    <t>T-shirt negro + Abrigo negro</t>
  </si>
  <si>
    <t>XL</t>
  </si>
  <si>
    <t>Bordado en frente</t>
  </si>
  <si>
    <t>Katherine Pantoja</t>
  </si>
  <si>
    <t>APTPRA San Pedro</t>
  </si>
  <si>
    <t>P0009</t>
  </si>
  <si>
    <t>Santa Ferrreira Dolores</t>
  </si>
  <si>
    <t>DASHBOARD EJECUTIVO</t>
  </si>
  <si>
    <t>INDICADORES CLAVE</t>
  </si>
  <si>
    <t>VENTAS POR CANAL</t>
  </si>
  <si>
    <t>Total Pedidos:</t>
  </si>
  <si>
    <t>Ventas Totales:</t>
  </si>
  <si>
    <t>Costos Totales:</t>
  </si>
  <si>
    <t>Facebook</t>
  </si>
  <si>
    <t>Ganancia Neta:</t>
  </si>
  <si>
    <t>Referido</t>
  </si>
  <si>
    <t>Margen Promedio:</t>
  </si>
  <si>
    <t>Ticket Promedio:</t>
  </si>
  <si>
    <t>TOP PRODUCTOS</t>
  </si>
  <si>
    <t>ALERTAS OPERATIVAS</t>
  </si>
  <si>
    <t>🔴 Pedidos Atrasados:</t>
  </si>
  <si>
    <t>⚠️ Sin Dirección:</t>
  </si>
  <si>
    <t>📦 En Producción:</t>
  </si>
  <si>
    <t>✅ Entregados:</t>
  </si>
  <si>
    <t>💰 Pagos Pendientes:</t>
  </si>
  <si>
    <t>BASE DE DATOS DE CLIENTES</t>
  </si>
  <si>
    <t>ID Cliente</t>
  </si>
  <si>
    <t>Nombre Completo</t>
  </si>
  <si>
    <t>Dirección Principal</t>
  </si>
  <si>
    <t>Canal Preferido</t>
  </si>
  <si>
    <t>Total Pedidos</t>
  </si>
  <si>
    <t>Total Comprado</t>
  </si>
  <si>
    <t>Último Pedido</t>
  </si>
  <si>
    <t>Tipo Cliente</t>
  </si>
  <si>
    <t>C001</t>
  </si>
  <si>
    <t>809-555-0101</t>
  </si>
  <si>
    <t>ana@email.com</t>
  </si>
  <si>
    <t>CONTROL DE INVENTARIO</t>
  </si>
  <si>
    <t>SKU</t>
  </si>
  <si>
    <t>Stock Actual</t>
  </si>
  <si>
    <t>Stock Mínimo</t>
  </si>
  <si>
    <t>Estado</t>
  </si>
  <si>
    <t>En Pedidos</t>
  </si>
  <si>
    <t>Stock Disponible</t>
  </si>
  <si>
    <t>Reorden Necesario</t>
  </si>
  <si>
    <t>ANÁLISIS FINANCIERO DETALLADO</t>
  </si>
  <si>
    <t>RESUMEN ENERO 2026</t>
  </si>
  <si>
    <t>Ingresos Brutos:</t>
  </si>
  <si>
    <t>Margen Neto:</t>
  </si>
  <si>
    <t>Pedidos del Mes:</t>
  </si>
  <si>
    <t>ANÁLISIS POR BANCO</t>
  </si>
  <si>
    <t>Total Vendido</t>
  </si>
  <si>
    <t>Cantidad</t>
  </si>
  <si>
    <t>Efectivo</t>
  </si>
  <si>
    <t>GUÍA DE USO DEL SISTEMA</t>
  </si>
  <si>
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</si>
</sst>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2F5496"/>
      <name val="Arial"/>
    </font>
    <font>
      <b/>
      <sz val="11"/>
      <color rgb="FFFFFFFF"/>
      <name val="Arial"/>
    </font>
    <font>
      <b/>
      <sz val="12"/>
      <color rgb="FF2F5496"/>
      <name val="Arial"/>
    </font>
    <font>
      <b/>
      <sz val="10"/>
      <color rgb="FFFFFFFF"/>
      <name val="Arial"/>
    </font>
    <font>
      <b/>
      <sz val="11"/>
      <name val="Arial"/>
    </font>
    <font>
      <sz val="11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5" fillId="0" borderId="0" xfId="0" applyFont="1"/>
    <xf numFmtId="164" fontId="6" fillId="0" borderId="0" xfId="0" applyNumberFormat="1" applyFont="1"/>
    <xf numFmtId="164" fontId="0" fillId="0" borderId="0" xfId="0" applyNumberFormat="1"/>
    <xf numFmtId="0" fontId="6" fillId="0" borderId="0" xfId="0" applyFont="1"/>
    <xf numFmtId="164" fontId="0" fillId="0" borderId="1" xfId="0" applyNumberFormat="1" applyBorder="1"/>
    <xf numFmtId="14" fontId="0" fillId="0" borderId="1" xfId="0" applyNumberFormat="1" applyBorder="1"/>
    <xf numFmtId="0" fontId="7" fillId="0" borderId="0" xfId="0" applyFon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9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sqref="A1:J1"/>
    </sheetView>
  </sheetViews>
  <sheetFormatPr baseColWidth="10" defaultColWidth="8.9375" defaultRowHeight="14.35" x14ac:dyDescent="0.5"/>
  <cols>
    <col min="1" max="1" width="15" customWidth="1"/>
    <col min="2" max="2" width="28" customWidth="1"/>
    <col min="3" max="3" width="15" customWidth="1"/>
    <col min="4" max="4" width="12" customWidth="1"/>
    <col min="5" max="6" width="15" customWidth="1"/>
    <col min="7" max="9" width="12" customWidth="1"/>
    <col min="10" max="10" width="18" customWidth="1"/>
  </cols>
  <sheetData>
    <row r="1" spans="1:10" ht="25" customHeight="1" x14ac:dyDescent="0.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ht="27.35" x14ac:dyDescent="0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5">
      <c r="A4" s="2" t="s">
        <v>11</v>
      </c>
      <c r="B4" s="2" t="s">
        <v>12</v>
      </c>
      <c r="C4" s="2" t="s">
        <v>13</v>
      </c>
      <c r="D4" s="3">
        <v>2000</v>
      </c>
      <c r="E4" s="3">
        <v>400</v>
      </c>
      <c r="F4" s="3">
        <v>300</v>
      </c>
      <c r="G4" s="3">
        <f t="shared" ref="G4:G9" si="0">E4+F4</f>
        <v>700</v>
      </c>
      <c r="H4" s="3">
        <f t="shared" ref="H4:H9" si="1">D4-G4</f>
        <v>1300</v>
      </c>
      <c r="I4" s="4">
        <f t="shared" ref="I4:I9" si="2">H4/D4</f>
        <v>0.65</v>
      </c>
      <c r="J4" s="5">
        <v>7</v>
      </c>
    </row>
    <row r="5" spans="1:10" x14ac:dyDescent="0.5">
      <c r="A5" s="2" t="s">
        <v>14</v>
      </c>
      <c r="B5" s="2" t="s">
        <v>15</v>
      </c>
      <c r="C5" s="2" t="s">
        <v>13</v>
      </c>
      <c r="D5" s="3">
        <v>2000</v>
      </c>
      <c r="E5" s="3">
        <v>350</v>
      </c>
      <c r="F5" s="3">
        <v>300</v>
      </c>
      <c r="G5" s="3">
        <f t="shared" si="0"/>
        <v>650</v>
      </c>
      <c r="H5" s="3">
        <f t="shared" si="1"/>
        <v>1350</v>
      </c>
      <c r="I5" s="4">
        <f t="shared" si="2"/>
        <v>0.67500000000000004</v>
      </c>
      <c r="J5" s="5">
        <v>7</v>
      </c>
    </row>
    <row r="6" spans="1:10" x14ac:dyDescent="0.5">
      <c r="A6" s="2" t="s">
        <v>16</v>
      </c>
      <c r="B6" s="2" t="s">
        <v>17</v>
      </c>
      <c r="C6" s="2" t="s">
        <v>18</v>
      </c>
      <c r="D6" s="3">
        <v>2700</v>
      </c>
      <c r="E6" s="3">
        <v>800</v>
      </c>
      <c r="F6" s="3">
        <v>500</v>
      </c>
      <c r="G6" s="3">
        <f t="shared" si="0"/>
        <v>1300</v>
      </c>
      <c r="H6" s="3">
        <f t="shared" si="1"/>
        <v>1400</v>
      </c>
      <c r="I6" s="4">
        <f t="shared" si="2"/>
        <v>0.51851851851851849</v>
      </c>
      <c r="J6" s="5">
        <v>10</v>
      </c>
    </row>
    <row r="7" spans="1:10" x14ac:dyDescent="0.5">
      <c r="A7" s="2" t="s">
        <v>19</v>
      </c>
      <c r="B7" s="2" t="s">
        <v>20</v>
      </c>
      <c r="C7" s="2" t="s">
        <v>18</v>
      </c>
      <c r="D7" s="3">
        <v>2700</v>
      </c>
      <c r="E7" s="3">
        <v>800</v>
      </c>
      <c r="F7" s="3">
        <v>500</v>
      </c>
      <c r="G7" s="3">
        <f t="shared" si="0"/>
        <v>1300</v>
      </c>
      <c r="H7" s="3">
        <f t="shared" si="1"/>
        <v>1400</v>
      </c>
      <c r="I7" s="4">
        <f t="shared" si="2"/>
        <v>0.51851851851851849</v>
      </c>
      <c r="J7" s="5">
        <v>10</v>
      </c>
    </row>
    <row r="8" spans="1:10" x14ac:dyDescent="0.5">
      <c r="A8" s="2" t="s">
        <v>21</v>
      </c>
      <c r="B8" s="2" t="s">
        <v>22</v>
      </c>
      <c r="C8" s="2" t="s">
        <v>23</v>
      </c>
      <c r="D8" s="3">
        <v>2400</v>
      </c>
      <c r="E8" s="3">
        <v>700</v>
      </c>
      <c r="F8" s="3">
        <v>450</v>
      </c>
      <c r="G8" s="3">
        <f t="shared" si="0"/>
        <v>1150</v>
      </c>
      <c r="H8" s="3">
        <f t="shared" si="1"/>
        <v>1250</v>
      </c>
      <c r="I8" s="4">
        <f t="shared" si="2"/>
        <v>0.52083333333333337</v>
      </c>
      <c r="J8" s="5">
        <v>12</v>
      </c>
    </row>
    <row r="9" spans="1:10" x14ac:dyDescent="0.5">
      <c r="A9" s="2" t="s">
        <v>24</v>
      </c>
      <c r="B9" s="2" t="s">
        <v>25</v>
      </c>
      <c r="C9" s="2" t="s">
        <v>13</v>
      </c>
      <c r="D9" s="3">
        <v>2200</v>
      </c>
      <c r="E9" s="3">
        <v>400</v>
      </c>
      <c r="F9" s="3">
        <v>400</v>
      </c>
      <c r="G9" s="3">
        <f t="shared" si="0"/>
        <v>800</v>
      </c>
      <c r="H9" s="3">
        <f t="shared" si="1"/>
        <v>1400</v>
      </c>
      <c r="I9" s="4">
        <f t="shared" si="2"/>
        <v>0.63636363636363635</v>
      </c>
      <c r="J9" s="5">
        <v>8</v>
      </c>
    </row>
    <row r="12" spans="1:10" ht="15.35" x14ac:dyDescent="0.5">
      <c r="A12" s="20" t="s">
        <v>26</v>
      </c>
      <c r="B12" s="19"/>
      <c r="C12" s="19"/>
      <c r="D12" s="19"/>
      <c r="E12" s="19"/>
      <c r="F12" s="19"/>
    </row>
    <row r="13" spans="1:10" ht="38" x14ac:dyDescent="0.5">
      <c r="A13" s="7" t="s">
        <v>27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</row>
    <row r="14" spans="1:10" x14ac:dyDescent="0.5">
      <c r="A14" s="8" t="s">
        <v>33</v>
      </c>
      <c r="B14" s="8" t="s">
        <v>34</v>
      </c>
      <c r="C14" s="3">
        <v>150</v>
      </c>
      <c r="D14" s="5">
        <v>1</v>
      </c>
      <c r="E14" s="8" t="s">
        <v>35</v>
      </c>
      <c r="F14" s="8" t="s">
        <v>36</v>
      </c>
    </row>
    <row r="15" spans="1:10" x14ac:dyDescent="0.5">
      <c r="A15" s="8" t="s">
        <v>37</v>
      </c>
      <c r="B15" s="8" t="s">
        <v>38</v>
      </c>
      <c r="C15" s="3">
        <v>150</v>
      </c>
      <c r="D15" s="5">
        <v>1</v>
      </c>
      <c r="E15" s="8" t="s">
        <v>39</v>
      </c>
      <c r="F15" s="8" t="s">
        <v>36</v>
      </c>
    </row>
    <row r="16" spans="1:10" x14ac:dyDescent="0.5">
      <c r="A16" s="8" t="s">
        <v>40</v>
      </c>
      <c r="B16" s="8" t="s">
        <v>41</v>
      </c>
      <c r="C16" s="3">
        <v>250</v>
      </c>
      <c r="D16" s="5">
        <v>2</v>
      </c>
      <c r="E16" s="8" t="s">
        <v>42</v>
      </c>
      <c r="F16" s="8" t="s">
        <v>36</v>
      </c>
    </row>
    <row r="17" spans="1:6" x14ac:dyDescent="0.5">
      <c r="A17" s="8" t="s">
        <v>43</v>
      </c>
      <c r="B17" s="8" t="s">
        <v>44</v>
      </c>
      <c r="C17" s="3">
        <v>100</v>
      </c>
      <c r="D17" s="5">
        <v>0</v>
      </c>
      <c r="E17" s="8" t="s">
        <v>45</v>
      </c>
      <c r="F17" s="8" t="s">
        <v>36</v>
      </c>
    </row>
    <row r="18" spans="1:6" x14ac:dyDescent="0.5">
      <c r="A18" s="8" t="s">
        <v>46</v>
      </c>
      <c r="B18" s="8" t="s">
        <v>47</v>
      </c>
      <c r="C18" s="3">
        <v>500</v>
      </c>
      <c r="D18" s="5">
        <v>3</v>
      </c>
      <c r="E18" s="8" t="s">
        <v>48</v>
      </c>
      <c r="F18" s="8" t="s">
        <v>36</v>
      </c>
    </row>
  </sheetData>
  <mergeCells count="2">
    <mergeCell ref="A1:J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2"/>
  <sheetViews>
    <sheetView workbookViewId="0">
      <pane ySplit="3" topLeftCell="A4" activePane="bottomLeft" state="frozen"/>
      <selection pane="bottomLeft"/>
    </sheetView>
  </sheetViews>
  <sheetFormatPr baseColWidth="10" defaultColWidth="8.9375" defaultRowHeight="14.35" x14ac:dyDescent="0.5"/>
  <cols>
    <col min="1" max="1" width="8" customWidth="1"/>
    <col min="2" max="2" width="12" customWidth="1"/>
    <col min="3" max="4" width="13" customWidth="1"/>
    <col min="5" max="5" width="10" customWidth="1"/>
    <col min="6" max="6" width="11" customWidth="1"/>
    <col min="7" max="7" width="12" customWidth="1"/>
    <col min="8" max="8" width="25" customWidth="1"/>
    <col min="9" max="9" width="8" customWidth="1"/>
    <col min="10" max="10" width="30" customWidth="1"/>
    <col min="11" max="11" width="12" customWidth="1"/>
    <col min="12" max="12" width="25" customWidth="1"/>
    <col min="13" max="13" width="13" customWidth="1"/>
    <col min="14" max="14" width="20" customWidth="1"/>
    <col min="15" max="15" width="25" customWidth="1"/>
    <col min="16" max="22" width="12" customWidth="1"/>
    <col min="23" max="24" width="13" customWidth="1"/>
    <col min="25" max="25" width="20" customWidth="1"/>
  </cols>
  <sheetData>
    <row r="1" spans="1:25" ht="25" customHeight="1" x14ac:dyDescent="0.5">
      <c r="A1" s="18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3" spans="1:25" ht="27.35" x14ac:dyDescent="0.5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</v>
      </c>
      <c r="V3" s="1" t="s">
        <v>70</v>
      </c>
      <c r="W3" s="1" t="s">
        <v>71</v>
      </c>
      <c r="X3" s="1" t="s">
        <v>72</v>
      </c>
      <c r="Y3" s="1" t="s">
        <v>73</v>
      </c>
    </row>
    <row r="4" spans="1:25" x14ac:dyDescent="0.5">
      <c r="A4" s="2" t="s">
        <v>74</v>
      </c>
      <c r="B4" s="9" t="s">
        <v>75</v>
      </c>
      <c r="C4" s="9" t="s">
        <v>76</v>
      </c>
      <c r="D4" s="9"/>
      <c r="E4" s="5">
        <f t="shared" ref="E4:E12" si="0">C4-B4</f>
        <v>16</v>
      </c>
      <c r="F4" s="5">
        <f t="shared" ref="F4:F12" ca="1" si="1">IF(D4="",IF(TODAY()&gt;C4,TODAY()-C4,0),IF(D4&gt;C4,D4-C4,0))</f>
        <v>0</v>
      </c>
      <c r="G4" s="2" t="s">
        <v>11</v>
      </c>
      <c r="H4" s="2" t="s">
        <v>77</v>
      </c>
      <c r="I4" s="5" t="s">
        <v>78</v>
      </c>
      <c r="J4" s="2" t="s">
        <v>79</v>
      </c>
      <c r="K4" s="3">
        <v>400</v>
      </c>
      <c r="L4" s="2" t="s">
        <v>80</v>
      </c>
      <c r="M4" s="2" t="s">
        <v>81</v>
      </c>
      <c r="N4" s="2"/>
      <c r="O4" s="2" t="s">
        <v>82</v>
      </c>
      <c r="P4" s="2" t="s">
        <v>83</v>
      </c>
      <c r="Q4" s="3">
        <v>2000</v>
      </c>
      <c r="R4" s="3">
        <v>400</v>
      </c>
      <c r="S4" s="3">
        <v>750</v>
      </c>
      <c r="T4" s="3">
        <f t="shared" ref="T4:T12" si="2">Q4+R4+S4</f>
        <v>3150</v>
      </c>
      <c r="U4" s="3">
        <f>VLOOKUP(G4,'1. Catálogo'!$A$4:$G$9,7,FALSE)+K4+S4</f>
        <v>1850</v>
      </c>
      <c r="V4" s="3">
        <f t="shared" ref="V4:V12" si="3">T4-U4</f>
        <v>1300</v>
      </c>
      <c r="W4" s="2" t="s">
        <v>84</v>
      </c>
      <c r="X4" s="2" t="s">
        <v>85</v>
      </c>
      <c r="Y4" s="2" t="s">
        <v>86</v>
      </c>
    </row>
    <row r="5" spans="1:25" x14ac:dyDescent="0.5">
      <c r="A5" s="2" t="s">
        <v>87</v>
      </c>
      <c r="B5" s="9" t="s">
        <v>88</v>
      </c>
      <c r="C5" s="9" t="s">
        <v>89</v>
      </c>
      <c r="D5" s="9"/>
      <c r="E5" s="5">
        <f t="shared" si="0"/>
        <v>18</v>
      </c>
      <c r="F5" s="5">
        <f t="shared" ca="1" si="1"/>
        <v>0</v>
      </c>
      <c r="G5" s="2" t="s">
        <v>16</v>
      </c>
      <c r="H5" s="2" t="s">
        <v>90</v>
      </c>
      <c r="I5" s="5" t="s">
        <v>91</v>
      </c>
      <c r="J5" s="2" t="s">
        <v>92</v>
      </c>
      <c r="K5" s="3">
        <v>150</v>
      </c>
      <c r="L5" s="2" t="s">
        <v>93</v>
      </c>
      <c r="M5" s="2" t="s">
        <v>81</v>
      </c>
      <c r="N5" s="2"/>
      <c r="O5" s="2" t="s">
        <v>94</v>
      </c>
      <c r="P5" s="2" t="s">
        <v>83</v>
      </c>
      <c r="Q5" s="3">
        <v>2700</v>
      </c>
      <c r="R5" s="3">
        <v>0</v>
      </c>
      <c r="S5" s="3">
        <v>0</v>
      </c>
      <c r="T5" s="3">
        <f t="shared" si="2"/>
        <v>2700</v>
      </c>
      <c r="U5" s="3">
        <f>VLOOKUP(G5,'1. Catálogo'!$A$4:$G$9,7,FALSE)+K5+S5</f>
        <v>1450</v>
      </c>
      <c r="V5" s="3">
        <f t="shared" si="3"/>
        <v>1250</v>
      </c>
      <c r="W5" s="2" t="s">
        <v>84</v>
      </c>
      <c r="X5" s="2" t="s">
        <v>85</v>
      </c>
      <c r="Y5" s="2" t="s">
        <v>86</v>
      </c>
    </row>
    <row r="6" spans="1:25" x14ac:dyDescent="0.5">
      <c r="A6" s="2" t="s">
        <v>95</v>
      </c>
      <c r="B6" s="9" t="s">
        <v>89</v>
      </c>
      <c r="C6" s="9" t="s">
        <v>96</v>
      </c>
      <c r="D6" s="9"/>
      <c r="E6" s="5">
        <f t="shared" si="0"/>
        <v>14</v>
      </c>
      <c r="F6" s="5">
        <f t="shared" ca="1" si="1"/>
        <v>0</v>
      </c>
      <c r="G6" s="2" t="s">
        <v>14</v>
      </c>
      <c r="H6" s="2" t="s">
        <v>97</v>
      </c>
      <c r="I6" s="5" t="s">
        <v>78</v>
      </c>
      <c r="J6" s="2" t="s">
        <v>92</v>
      </c>
      <c r="K6" s="3">
        <v>150</v>
      </c>
      <c r="L6" s="2" t="s">
        <v>98</v>
      </c>
      <c r="M6" s="2" t="s">
        <v>81</v>
      </c>
      <c r="N6" s="2"/>
      <c r="O6" s="2" t="s">
        <v>99</v>
      </c>
      <c r="P6" s="2" t="s">
        <v>83</v>
      </c>
      <c r="Q6" s="3">
        <v>2000</v>
      </c>
      <c r="R6" s="3">
        <v>0</v>
      </c>
      <c r="S6" s="3">
        <v>0</v>
      </c>
      <c r="T6" s="3">
        <f t="shared" si="2"/>
        <v>2000</v>
      </c>
      <c r="U6" s="3">
        <f>VLOOKUP(G6,'1. Catálogo'!$A$4:$G$9,7,FALSE)+K6+S6</f>
        <v>800</v>
      </c>
      <c r="V6" s="3">
        <f t="shared" si="3"/>
        <v>1200</v>
      </c>
      <c r="W6" s="2" t="s">
        <v>84</v>
      </c>
      <c r="X6" s="2" t="s">
        <v>85</v>
      </c>
      <c r="Y6" s="2" t="s">
        <v>86</v>
      </c>
    </row>
    <row r="7" spans="1:25" x14ac:dyDescent="0.5">
      <c r="A7" s="2" t="s">
        <v>100</v>
      </c>
      <c r="B7" s="9" t="s">
        <v>101</v>
      </c>
      <c r="C7" s="9" t="s">
        <v>102</v>
      </c>
      <c r="D7" s="9"/>
      <c r="E7" s="5">
        <f t="shared" si="0"/>
        <v>15</v>
      </c>
      <c r="F7" s="5">
        <f t="shared" ca="1" si="1"/>
        <v>0</v>
      </c>
      <c r="G7" s="2" t="s">
        <v>14</v>
      </c>
      <c r="H7" s="2" t="s">
        <v>97</v>
      </c>
      <c r="I7" s="5" t="s">
        <v>91</v>
      </c>
      <c r="J7" s="2" t="s">
        <v>92</v>
      </c>
      <c r="K7" s="3">
        <v>150</v>
      </c>
      <c r="L7" s="2" t="s">
        <v>103</v>
      </c>
      <c r="M7" s="2" t="s">
        <v>81</v>
      </c>
      <c r="N7" s="2"/>
      <c r="O7" s="2" t="s">
        <v>104</v>
      </c>
      <c r="P7" s="2" t="s">
        <v>83</v>
      </c>
      <c r="Q7" s="3">
        <v>2000</v>
      </c>
      <c r="R7" s="3">
        <v>0</v>
      </c>
      <c r="S7" s="3">
        <v>0</v>
      </c>
      <c r="T7" s="3">
        <f t="shared" si="2"/>
        <v>2000</v>
      </c>
      <c r="U7" s="3">
        <f>VLOOKUP(G7,'1. Catálogo'!$A$4:$G$9,7,FALSE)+K7+S7</f>
        <v>800</v>
      </c>
      <c r="V7" s="3">
        <f t="shared" si="3"/>
        <v>1200</v>
      </c>
      <c r="W7" s="2" t="s">
        <v>105</v>
      </c>
      <c r="X7" s="2" t="s">
        <v>85</v>
      </c>
      <c r="Y7" s="2" t="s">
        <v>106</v>
      </c>
    </row>
    <row r="8" spans="1:25" x14ac:dyDescent="0.5">
      <c r="A8" s="2" t="s">
        <v>107</v>
      </c>
      <c r="B8" s="9" t="s">
        <v>108</v>
      </c>
      <c r="C8" s="9" t="s">
        <v>109</v>
      </c>
      <c r="D8" s="9"/>
      <c r="E8" s="5">
        <f t="shared" si="0"/>
        <v>13</v>
      </c>
      <c r="F8" s="5">
        <f t="shared" ca="1" si="1"/>
        <v>0</v>
      </c>
      <c r="G8" s="2" t="s">
        <v>16</v>
      </c>
      <c r="H8" s="2" t="s">
        <v>90</v>
      </c>
      <c r="I8" s="5" t="s">
        <v>91</v>
      </c>
      <c r="J8" s="2" t="s">
        <v>110</v>
      </c>
      <c r="K8" s="3">
        <v>250</v>
      </c>
      <c r="L8" s="2" t="s">
        <v>111</v>
      </c>
      <c r="M8" s="2" t="s">
        <v>81</v>
      </c>
      <c r="N8" s="2"/>
      <c r="O8" s="2" t="s">
        <v>112</v>
      </c>
      <c r="P8" s="2" t="s">
        <v>83</v>
      </c>
      <c r="Q8" s="3">
        <v>2700</v>
      </c>
      <c r="R8" s="3">
        <v>250</v>
      </c>
      <c r="S8" s="3">
        <v>750</v>
      </c>
      <c r="T8" s="3">
        <f t="shared" si="2"/>
        <v>3700</v>
      </c>
      <c r="U8" s="3">
        <f>VLOOKUP(G8,'1. Catálogo'!$A$4:$G$9,7,FALSE)+K8+S8</f>
        <v>2300</v>
      </c>
      <c r="V8" s="3">
        <f t="shared" si="3"/>
        <v>1400</v>
      </c>
      <c r="W8" s="2" t="s">
        <v>105</v>
      </c>
      <c r="X8" s="2" t="s">
        <v>85</v>
      </c>
      <c r="Y8" s="2" t="s">
        <v>86</v>
      </c>
    </row>
    <row r="9" spans="1:25" x14ac:dyDescent="0.5">
      <c r="A9" s="2" t="s">
        <v>113</v>
      </c>
      <c r="B9" s="9" t="s">
        <v>114</v>
      </c>
      <c r="C9" s="9" t="s">
        <v>115</v>
      </c>
      <c r="D9" s="9"/>
      <c r="E9" s="5">
        <f t="shared" si="0"/>
        <v>15</v>
      </c>
      <c r="F9" s="5">
        <f t="shared" ca="1" si="1"/>
        <v>0</v>
      </c>
      <c r="G9" s="2" t="s">
        <v>14</v>
      </c>
      <c r="H9" s="2" t="s">
        <v>97</v>
      </c>
      <c r="I9" s="5" t="s">
        <v>78</v>
      </c>
      <c r="J9" s="2" t="s">
        <v>92</v>
      </c>
      <c r="K9" s="3">
        <v>150</v>
      </c>
      <c r="L9" s="2" t="s">
        <v>116</v>
      </c>
      <c r="M9" s="2" t="s">
        <v>117</v>
      </c>
      <c r="N9" s="2"/>
      <c r="O9" s="2" t="s">
        <v>104</v>
      </c>
      <c r="P9" s="2" t="s">
        <v>118</v>
      </c>
      <c r="Q9" s="3">
        <v>2000</v>
      </c>
      <c r="R9" s="3">
        <v>0</v>
      </c>
      <c r="S9" s="3">
        <v>0</v>
      </c>
      <c r="T9" s="3">
        <f t="shared" si="2"/>
        <v>2000</v>
      </c>
      <c r="U9" s="3">
        <f>VLOOKUP(G9,'1. Catálogo'!$A$4:$G$9,7,FALSE)+K9+S9</f>
        <v>800</v>
      </c>
      <c r="V9" s="3">
        <f t="shared" si="3"/>
        <v>1200</v>
      </c>
      <c r="W9" s="2" t="s">
        <v>105</v>
      </c>
      <c r="X9" s="2" t="s">
        <v>85</v>
      </c>
      <c r="Y9" s="2" t="s">
        <v>106</v>
      </c>
    </row>
    <row r="10" spans="1:25" x14ac:dyDescent="0.5">
      <c r="A10" s="2" t="s">
        <v>119</v>
      </c>
      <c r="B10" s="9" t="s">
        <v>120</v>
      </c>
      <c r="C10" s="9" t="s">
        <v>76</v>
      </c>
      <c r="D10" s="9"/>
      <c r="E10" s="5">
        <f t="shared" si="0"/>
        <v>14</v>
      </c>
      <c r="F10" s="5">
        <f t="shared" ca="1" si="1"/>
        <v>0</v>
      </c>
      <c r="G10" s="2" t="s">
        <v>14</v>
      </c>
      <c r="H10" s="2" t="s">
        <v>97</v>
      </c>
      <c r="I10" s="5" t="s">
        <v>121</v>
      </c>
      <c r="J10" s="2" t="s">
        <v>92</v>
      </c>
      <c r="K10" s="3">
        <v>150</v>
      </c>
      <c r="L10" s="2" t="s">
        <v>122</v>
      </c>
      <c r="M10" s="2" t="s">
        <v>117</v>
      </c>
      <c r="N10" s="2"/>
      <c r="O10" s="2" t="s">
        <v>104</v>
      </c>
      <c r="P10" s="2" t="s">
        <v>118</v>
      </c>
      <c r="Q10" s="3">
        <v>1952</v>
      </c>
      <c r="R10" s="3">
        <v>0</v>
      </c>
      <c r="S10" s="3">
        <v>0</v>
      </c>
      <c r="T10" s="3">
        <f t="shared" si="2"/>
        <v>1952</v>
      </c>
      <c r="U10" s="3">
        <f>VLOOKUP(G10,'1. Catálogo'!$A$4:$G$9,7,FALSE)+K10+S10</f>
        <v>800</v>
      </c>
      <c r="V10" s="3">
        <f t="shared" si="3"/>
        <v>1152</v>
      </c>
      <c r="W10" s="2" t="s">
        <v>123</v>
      </c>
      <c r="X10" s="2" t="s">
        <v>85</v>
      </c>
      <c r="Y10" s="2" t="s">
        <v>106</v>
      </c>
    </row>
    <row r="11" spans="1:25" x14ac:dyDescent="0.5">
      <c r="A11" s="2" t="s">
        <v>124</v>
      </c>
      <c r="B11" s="9" t="s">
        <v>125</v>
      </c>
      <c r="C11" s="9" t="s">
        <v>126</v>
      </c>
      <c r="D11" s="2"/>
      <c r="E11" s="5">
        <f t="shared" si="0"/>
        <v>9</v>
      </c>
      <c r="F11" s="5">
        <f t="shared" ca="1" si="1"/>
        <v>0</v>
      </c>
      <c r="G11" s="2" t="s">
        <v>14</v>
      </c>
      <c r="H11" s="2" t="s">
        <v>127</v>
      </c>
      <c r="I11" s="5" t="s">
        <v>128</v>
      </c>
      <c r="J11" s="2" t="s">
        <v>129</v>
      </c>
      <c r="K11" s="3">
        <v>150</v>
      </c>
      <c r="L11" s="2" t="s">
        <v>130</v>
      </c>
      <c r="M11" s="2" t="s">
        <v>81</v>
      </c>
      <c r="N11" s="2"/>
      <c r="O11" s="2" t="s">
        <v>131</v>
      </c>
      <c r="P11" s="2" t="s">
        <v>83</v>
      </c>
      <c r="Q11" s="3">
        <v>4400</v>
      </c>
      <c r="R11" s="3">
        <v>0</v>
      </c>
      <c r="S11" s="3">
        <v>0</v>
      </c>
      <c r="T11" s="3">
        <f t="shared" si="2"/>
        <v>4400</v>
      </c>
      <c r="U11" s="3">
        <f>VLOOKUP(G11,'1. Catálogo'!$A$4:$G$9,7,FALSE)+K11+S11</f>
        <v>800</v>
      </c>
      <c r="V11" s="3">
        <f t="shared" si="3"/>
        <v>3600</v>
      </c>
      <c r="W11" s="2" t="s">
        <v>105</v>
      </c>
      <c r="X11" s="2" t="s">
        <v>85</v>
      </c>
      <c r="Y11" s="2" t="s">
        <v>86</v>
      </c>
    </row>
    <row r="12" spans="1:25" x14ac:dyDescent="0.5">
      <c r="A12" s="2" t="s">
        <v>132</v>
      </c>
      <c r="B12" s="9" t="s">
        <v>114</v>
      </c>
      <c r="C12" s="9" t="s">
        <v>115</v>
      </c>
      <c r="D12" s="2"/>
      <c r="E12" s="5">
        <f t="shared" si="0"/>
        <v>15</v>
      </c>
      <c r="F12" s="5">
        <f t="shared" ca="1" si="1"/>
        <v>0</v>
      </c>
      <c r="G12" s="2" t="s">
        <v>14</v>
      </c>
      <c r="H12" s="2" t="s">
        <v>97</v>
      </c>
      <c r="I12" s="5" t="s">
        <v>128</v>
      </c>
      <c r="J12" s="2" t="s">
        <v>92</v>
      </c>
      <c r="K12" s="3">
        <v>150</v>
      </c>
      <c r="L12" s="2" t="s">
        <v>133</v>
      </c>
      <c r="M12" s="2" t="s">
        <v>117</v>
      </c>
      <c r="N12" s="2"/>
      <c r="O12" s="2" t="s">
        <v>104</v>
      </c>
      <c r="P12" s="2" t="s">
        <v>118</v>
      </c>
      <c r="Q12" s="3">
        <v>2000</v>
      </c>
      <c r="R12" s="3">
        <v>0</v>
      </c>
      <c r="S12" s="3">
        <v>0</v>
      </c>
      <c r="T12" s="3">
        <f t="shared" si="2"/>
        <v>2000</v>
      </c>
      <c r="U12" s="3">
        <f>VLOOKUP(G12,'1. Catálogo'!$A$4:$G$9,7,FALSE)+K12+S12</f>
        <v>800</v>
      </c>
      <c r="V12" s="3">
        <f t="shared" si="3"/>
        <v>1200</v>
      </c>
      <c r="W12" s="2" t="s">
        <v>105</v>
      </c>
      <c r="X12" s="2" t="s">
        <v>85</v>
      </c>
      <c r="Y12" s="2" t="s">
        <v>106</v>
      </c>
    </row>
  </sheetData>
  <mergeCells count="1">
    <mergeCell ref="A1:U1"/>
  </mergeCells>
  <conditionalFormatting sqref="F4:F1000">
    <cfRule type="cellIs" dxfId="8" priority="1" operator="greaterThan">
      <formula>0</formula>
    </cfRule>
  </conditionalFormatting>
  <conditionalFormatting sqref="Y4:Y1000">
    <cfRule type="expression" dxfId="7" priority="2">
      <formula>ISNUMBER(SEARCH("Bloqueado",$Y4))</formula>
    </cfRule>
    <cfRule type="expression" dxfId="6" priority="3">
      <formula>$Y4="Entregado"</formula>
    </cfRule>
    <cfRule type="expression" dxfId="5" priority="4">
      <formula>$Y4="En Producción"</formula>
    </cfRule>
    <cfRule type="expression" dxfId="4" priority="6">
      <formula>ISNUMBER(SEARCH("Bloqueado",$Y4))</formula>
    </cfRule>
    <cfRule type="expression" dxfId="3" priority="7">
      <formula>$Y4="Entregado"</formula>
    </cfRule>
    <cfRule type="expression" dxfId="2" priority="8">
      <formula>$Y4="En Producción"</formula>
    </cfRule>
  </conditionalFormatting>
  <dataValidations count="5">
    <dataValidation type="list" sqref="I4:I1000" xr:uid="{00000000-0002-0000-0100-000000000000}">
      <formula1>"XS,S,M,L,XL,XXL"</formula1>
    </dataValidation>
    <dataValidation type="list" sqref="P4:P1000" xr:uid="{00000000-0002-0000-0100-000001000000}">
      <formula1>"WhatsApp,Instagram,Facebook,Referido,Tienda Física"</formula1>
    </dataValidation>
    <dataValidation type="list" sqref="W4:W1000" xr:uid="{00000000-0002-0000-0100-000002000000}">
      <formula1>"Popular,Banreservas,BHD,Efectivo,Transferencia"</formula1>
    </dataValidation>
    <dataValidation type="list" sqref="X4:X1000" xr:uid="{00000000-0002-0000-0100-000003000000}">
      <formula1>"Recibido,Pendiente,Parcial"</formula1>
    </dataValidation>
    <dataValidation type="list" sqref="Y4:Y1000" xr:uid="{00000000-0002-0000-0100-000004000000}">
      <formula1>"En Producción,Entregado,Bloqueado - Sin Dirección,Cancelado,Pendiente Pago"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baseColWidth="10" defaultColWidth="8.9375" defaultRowHeight="14.35" x14ac:dyDescent="0.5"/>
  <cols>
    <col min="2" max="2" width="25" customWidth="1"/>
    <col min="3" max="3" width="15" customWidth="1"/>
    <col min="5" max="5" width="20" customWidth="1"/>
    <col min="6" max="6" width="15" customWidth="1"/>
  </cols>
  <sheetData>
    <row r="1" spans="1:6" ht="30" customHeight="1" x14ac:dyDescent="0.6">
      <c r="A1" s="21" t="s">
        <v>134</v>
      </c>
      <c r="B1" s="19"/>
      <c r="C1" s="19"/>
      <c r="D1" s="19"/>
      <c r="E1" s="19"/>
      <c r="F1" s="19"/>
    </row>
    <row r="3" spans="1:6" ht="15.35" x14ac:dyDescent="0.5">
      <c r="B3" s="20" t="s">
        <v>135</v>
      </c>
      <c r="C3" s="19"/>
      <c r="E3" s="20" t="s">
        <v>136</v>
      </c>
      <c r="F3" s="19"/>
    </row>
    <row r="4" spans="1:6" x14ac:dyDescent="0.5">
      <c r="B4" s="10" t="s">
        <v>137</v>
      </c>
      <c r="C4" s="11">
        <f>COUNTA('2. Pedidos'!A4:A1000)</f>
        <v>9</v>
      </c>
      <c r="E4" t="s">
        <v>83</v>
      </c>
      <c r="F4" s="12">
        <f>SUMIF('2. Pedidos'!P:P,"WhatsApp",'2. Pedidos'!T:T)</f>
        <v>17950</v>
      </c>
    </row>
    <row r="5" spans="1:6" x14ac:dyDescent="0.5">
      <c r="B5" s="10" t="s">
        <v>138</v>
      </c>
      <c r="C5" s="11">
        <f>SUM('2. Pedidos'!T4:T1000)</f>
        <v>23902</v>
      </c>
      <c r="E5" t="s">
        <v>118</v>
      </c>
      <c r="F5" s="12">
        <f>SUMIF('2. Pedidos'!P:P,"Instagram",'2. Pedidos'!T:T)</f>
        <v>5952</v>
      </c>
    </row>
    <row r="6" spans="1:6" x14ac:dyDescent="0.5">
      <c r="B6" s="10" t="s">
        <v>139</v>
      </c>
      <c r="C6" s="11">
        <f>SUM('2. Pedidos'!U4:U1000)</f>
        <v>10400</v>
      </c>
      <c r="E6" t="s">
        <v>140</v>
      </c>
      <c r="F6" s="12">
        <f>SUMIF('2. Pedidos'!P:P,"Facebook",'2. Pedidos'!T:T)</f>
        <v>0</v>
      </c>
    </row>
    <row r="7" spans="1:6" x14ac:dyDescent="0.5">
      <c r="B7" s="10" t="s">
        <v>141</v>
      </c>
      <c r="C7" s="11">
        <f>SUM('2. Pedidos'!V4:V1000)</f>
        <v>13502</v>
      </c>
      <c r="E7" t="s">
        <v>142</v>
      </c>
      <c r="F7" s="12">
        <f>SUMIF('2. Pedidos'!P:P,"Referido",'2. Pedidos'!T:T)</f>
        <v>0</v>
      </c>
    </row>
    <row r="8" spans="1:6" x14ac:dyDescent="0.5">
      <c r="B8" s="10" t="s">
        <v>143</v>
      </c>
      <c r="C8" s="11">
        <f>AVERAGE('2. Pedidos'!V4:V1000/'2. Pedidos'!T4:T1000)</f>
        <v>0.3783783783783784</v>
      </c>
    </row>
    <row r="9" spans="1:6" ht="15.35" x14ac:dyDescent="0.5">
      <c r="B9" s="10" t="s">
        <v>144</v>
      </c>
      <c r="C9" s="11">
        <f>AVERAGE('2. Pedidos'!T4:T1000)</f>
        <v>2655.7777777777778</v>
      </c>
      <c r="E9" s="20" t="s">
        <v>145</v>
      </c>
      <c r="F9" s="19"/>
    </row>
    <row r="10" spans="1:6" x14ac:dyDescent="0.5">
      <c r="E10" t="s">
        <v>14</v>
      </c>
      <c r="F10">
        <f>COUNTIF('2. Pedidos'!G:G,"TS-NEG-ST")</f>
        <v>6</v>
      </c>
    </row>
    <row r="11" spans="1:6" x14ac:dyDescent="0.5">
      <c r="E11" t="s">
        <v>16</v>
      </c>
      <c r="F11">
        <f>COUNTIF('2. Pedidos'!G:G,"HD-NEG-ST")</f>
        <v>2</v>
      </c>
    </row>
    <row r="12" spans="1:6" ht="15.35" x14ac:dyDescent="0.5">
      <c r="B12" s="20" t="s">
        <v>146</v>
      </c>
      <c r="C12" s="19"/>
      <c r="E12" t="s">
        <v>11</v>
      </c>
      <c r="F12">
        <f>COUNTIF('2. Pedidos'!G:G,"TS-BL-OS")</f>
        <v>1</v>
      </c>
    </row>
    <row r="13" spans="1:6" x14ac:dyDescent="0.5">
      <c r="B13" s="13" t="s">
        <v>147</v>
      </c>
      <c r="C13" s="13">
        <f ca="1">COUNTIF('2. Pedidos'!F4:F1000,"&gt;0")</f>
        <v>0</v>
      </c>
    </row>
    <row r="14" spans="1:6" x14ac:dyDescent="0.5">
      <c r="B14" s="13" t="s">
        <v>148</v>
      </c>
      <c r="C14" s="13">
        <f>COUNTIF('2. Pedidos'!O4:O1000,"PENDIENTE")</f>
        <v>4</v>
      </c>
    </row>
    <row r="15" spans="1:6" x14ac:dyDescent="0.5">
      <c r="B15" s="13" t="s">
        <v>149</v>
      </c>
      <c r="C15" s="13">
        <f>COUNTIF('2. Pedidos'!Y4:Y1000,"En Producción")</f>
        <v>5</v>
      </c>
    </row>
    <row r="16" spans="1:6" x14ac:dyDescent="0.5">
      <c r="B16" s="13" t="s">
        <v>150</v>
      </c>
      <c r="C16" s="13">
        <f>COUNTIF('2. Pedidos'!Y4:Y1000,"Entregado")</f>
        <v>0</v>
      </c>
    </row>
    <row r="17" spans="2:3" x14ac:dyDescent="0.5">
      <c r="B17" s="13" t="s">
        <v>151</v>
      </c>
      <c r="C17" s="13">
        <f>COUNTIF('2. Pedidos'!X4:X1000,"Pendiente")</f>
        <v>0</v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ColWidth="8.9375" defaultRowHeight="14.35" x14ac:dyDescent="0.5"/>
  <cols>
    <col min="1" max="1" width="12" customWidth="1"/>
    <col min="2" max="2" width="30" customWidth="1"/>
    <col min="3" max="3" width="15" customWidth="1"/>
    <col min="4" max="4" width="25" customWidth="1"/>
    <col min="5" max="5" width="30" customWidth="1"/>
    <col min="6" max="6" width="15" customWidth="1"/>
    <col min="7" max="7" width="12" customWidth="1"/>
    <col min="8" max="10" width="15" customWidth="1"/>
  </cols>
  <sheetData>
    <row r="1" spans="1:10" ht="20" x14ac:dyDescent="0.6">
      <c r="A1" s="21" t="s">
        <v>152</v>
      </c>
      <c r="B1" s="19"/>
      <c r="C1" s="19"/>
      <c r="D1" s="19"/>
      <c r="E1" s="19"/>
      <c r="F1" s="19"/>
      <c r="G1" s="19"/>
      <c r="H1" s="19"/>
      <c r="I1" s="19"/>
      <c r="J1" s="19"/>
    </row>
    <row r="3" spans="1:10" ht="27.35" x14ac:dyDescent="0.5">
      <c r="A3" s="1" t="s">
        <v>153</v>
      </c>
      <c r="B3" s="1" t="s">
        <v>154</v>
      </c>
      <c r="C3" s="1" t="s">
        <v>62</v>
      </c>
      <c r="D3" s="1" t="s">
        <v>63</v>
      </c>
      <c r="E3" s="1" t="s">
        <v>155</v>
      </c>
      <c r="F3" s="1" t="s">
        <v>156</v>
      </c>
      <c r="G3" s="1" t="s">
        <v>157</v>
      </c>
      <c r="H3" s="1" t="s">
        <v>158</v>
      </c>
      <c r="I3" s="1" t="s">
        <v>159</v>
      </c>
      <c r="J3" s="1" t="s">
        <v>160</v>
      </c>
    </row>
    <row r="4" spans="1:10" x14ac:dyDescent="0.5">
      <c r="A4" s="8" t="s">
        <v>161</v>
      </c>
      <c r="B4" s="8" t="s">
        <v>80</v>
      </c>
      <c r="C4" s="8" t="s">
        <v>162</v>
      </c>
      <c r="D4" s="8" t="s">
        <v>163</v>
      </c>
      <c r="E4" s="8" t="s">
        <v>82</v>
      </c>
      <c r="F4" s="8" t="s">
        <v>83</v>
      </c>
      <c r="G4" s="8">
        <f>COUNTIF('2. Pedidos'!L:L,B4)</f>
        <v>1</v>
      </c>
      <c r="H4" s="14">
        <f>SUMIF('2. Pedidos'!L:L,B4,'2. Pedidos'!T:T)</f>
        <v>3150</v>
      </c>
      <c r="I4" s="15" t="e">
        <f ca="1">_xludf.MAXIFS('2. Pedidos'!B:B,'2. Pedidos'!L:L,B4)</f>
        <v>#NAME?</v>
      </c>
      <c r="J4" s="8" t="str">
        <f>IF(G4&gt;=5,"VIP",IF(G4&gt;=3,"Frecuente","Nuevo"))</f>
        <v>Nuevo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baseColWidth="10" defaultColWidth="8.9375" defaultRowHeight="14.35" x14ac:dyDescent="0.5"/>
  <cols>
    <col min="1" max="1" width="12" customWidth="1"/>
    <col min="2" max="2" width="30" customWidth="1"/>
    <col min="3" max="3" width="12" customWidth="1"/>
    <col min="4" max="4" width="13" customWidth="1"/>
    <col min="5" max="5" width="15" customWidth="1"/>
    <col min="6" max="6" width="12" customWidth="1"/>
    <col min="7" max="7" width="15" customWidth="1"/>
    <col min="8" max="8" width="18" customWidth="1"/>
  </cols>
  <sheetData>
    <row r="1" spans="1:8" ht="20" x14ac:dyDescent="0.6">
      <c r="A1" s="21" t="s">
        <v>164</v>
      </c>
      <c r="B1" s="19"/>
      <c r="C1" s="19"/>
      <c r="D1" s="19"/>
      <c r="E1" s="19"/>
      <c r="F1" s="19"/>
      <c r="G1" s="19"/>
      <c r="H1" s="19"/>
    </row>
    <row r="3" spans="1:8" ht="27.35" x14ac:dyDescent="0.5">
      <c r="A3" s="1" t="s">
        <v>165</v>
      </c>
      <c r="B3" s="1" t="s">
        <v>57</v>
      </c>
      <c r="C3" s="1" t="s">
        <v>166</v>
      </c>
      <c r="D3" s="1" t="s">
        <v>167</v>
      </c>
      <c r="E3" s="1" t="s">
        <v>168</v>
      </c>
      <c r="F3" s="1" t="s">
        <v>169</v>
      </c>
      <c r="G3" s="1" t="s">
        <v>170</v>
      </c>
      <c r="H3" s="1" t="s">
        <v>171</v>
      </c>
    </row>
    <row r="4" spans="1:8" x14ac:dyDescent="0.5">
      <c r="A4" s="5" t="s">
        <v>11</v>
      </c>
      <c r="B4" s="5" t="s">
        <v>12</v>
      </c>
      <c r="C4" s="5">
        <v>15</v>
      </c>
      <c r="D4" s="5">
        <v>10</v>
      </c>
      <c r="E4" s="5" t="str">
        <f>IF(C4&lt;D4,"⚠️ BAJO",IF(C4&lt;D4*2,"✅ OK","📦 EXCESO"))</f>
        <v>✅ OK</v>
      </c>
      <c r="F4" s="5">
        <f>COUNTIF('2. Pedidos'!G:G,A4)</f>
        <v>1</v>
      </c>
      <c r="G4" s="5">
        <f>C4-F4</f>
        <v>14</v>
      </c>
      <c r="H4" s="5" t="str">
        <f>IF(G4&lt;D4,"SÍ","NO")</f>
        <v>NO</v>
      </c>
    </row>
    <row r="5" spans="1:8" x14ac:dyDescent="0.5">
      <c r="A5" s="5" t="s">
        <v>14</v>
      </c>
      <c r="B5" s="5" t="s">
        <v>15</v>
      </c>
      <c r="C5" s="5">
        <v>8</v>
      </c>
      <c r="D5" s="5">
        <v>10</v>
      </c>
      <c r="E5" s="5" t="str">
        <f>IF(C5&lt;D5,"⚠️ BAJO",IF(C5&lt;D5*2,"✅ OK","📦 EXCESO"))</f>
        <v>⚠️ BAJO</v>
      </c>
      <c r="F5" s="5">
        <f>COUNTIF('2. Pedidos'!G:G,A5)</f>
        <v>6</v>
      </c>
      <c r="G5" s="5">
        <f>C5-F5</f>
        <v>2</v>
      </c>
      <c r="H5" s="5" t="str">
        <f>IF(G5&lt;D5,"SÍ","NO")</f>
        <v>SÍ</v>
      </c>
    </row>
    <row r="6" spans="1:8" x14ac:dyDescent="0.5">
      <c r="A6" s="5" t="s">
        <v>16</v>
      </c>
      <c r="B6" s="5" t="s">
        <v>17</v>
      </c>
      <c r="C6" s="5">
        <v>5</v>
      </c>
      <c r="D6" s="5">
        <v>8</v>
      </c>
      <c r="E6" s="5" t="str">
        <f>IF(C6&lt;D6,"⚠️ BAJO",IF(C6&lt;D6*2,"✅ OK","📦 EXCESO"))</f>
        <v>⚠️ BAJO</v>
      </c>
      <c r="F6" s="5">
        <f>COUNTIF('2. Pedidos'!G:G,A6)</f>
        <v>2</v>
      </c>
      <c r="G6" s="5">
        <f>C6-F6</f>
        <v>3</v>
      </c>
      <c r="H6" s="5" t="str">
        <f>IF(G6&lt;D6,"SÍ","NO")</f>
        <v>SÍ</v>
      </c>
    </row>
  </sheetData>
  <mergeCells count="1">
    <mergeCell ref="A1:H1"/>
  </mergeCells>
  <conditionalFormatting sqref="E4:E1000">
    <cfRule type="expression" dxfId="1" priority="1">
      <formula>ISNUMBER(SEARCH("BAJO",$E4))</formula>
    </cfRule>
    <cfRule type="expression" dxfId="0" priority="2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baseColWidth="10" defaultColWidth="8.9375" defaultRowHeight="14.35" x14ac:dyDescent="0.5"/>
  <cols>
    <col min="2" max="2" width="25" customWidth="1"/>
    <col min="3" max="3" width="15" customWidth="1"/>
    <col min="4" max="4" width="12" customWidth="1"/>
  </cols>
  <sheetData>
    <row r="1" spans="1:6" ht="20" x14ac:dyDescent="0.6">
      <c r="A1" s="21" t="s">
        <v>172</v>
      </c>
      <c r="B1" s="19"/>
      <c r="C1" s="19"/>
      <c r="D1" s="19"/>
      <c r="E1" s="19"/>
      <c r="F1" s="19"/>
    </row>
    <row r="3" spans="1:6" ht="15.35" x14ac:dyDescent="0.5">
      <c r="B3" s="6" t="s">
        <v>173</v>
      </c>
    </row>
    <row r="4" spans="1:6" x14ac:dyDescent="0.5">
      <c r="B4" s="16" t="s">
        <v>174</v>
      </c>
      <c r="C4" s="12">
        <f>SUMIFS('2. Pedidos'!T:T,'2. Pedidos'!B:B,"&gt;="&amp;DATE(2026,1,1),'2. Pedidos'!B:B,"&lt;"&amp;DATE(2026,2,1))</f>
        <v>0</v>
      </c>
    </row>
    <row r="5" spans="1:6" x14ac:dyDescent="0.5">
      <c r="B5" s="16" t="s">
        <v>139</v>
      </c>
      <c r="C5" s="12">
        <f>SUMIFS('2. Pedidos'!U:U,'2. Pedidos'!B:B,"&gt;="&amp;DATE(2026,1,1),'2. Pedidos'!B:B,"&lt;"&amp;DATE(2026,2,1))</f>
        <v>0</v>
      </c>
    </row>
    <row r="6" spans="1:6" x14ac:dyDescent="0.5">
      <c r="B6" s="16" t="s">
        <v>141</v>
      </c>
      <c r="C6" s="12">
        <f>C4-C5</f>
        <v>0</v>
      </c>
    </row>
    <row r="7" spans="1:6" x14ac:dyDescent="0.5">
      <c r="B7" s="16" t="s">
        <v>175</v>
      </c>
      <c r="C7" s="17" t="e">
        <f>C6/C4</f>
        <v>#DIV/0!</v>
      </c>
    </row>
    <row r="8" spans="1:6" x14ac:dyDescent="0.5">
      <c r="B8" s="16" t="s">
        <v>176</v>
      </c>
      <c r="C8">
        <f>COUNTIFS('2. Pedidos'!B:B,"&gt;="&amp;DATE(2026,1,1),'2. Pedidos'!B:B,"&lt;"&amp;DATE(2026,2,1))</f>
        <v>0</v>
      </c>
    </row>
    <row r="9" spans="1:6" x14ac:dyDescent="0.5">
      <c r="B9" s="16" t="s">
        <v>144</v>
      </c>
      <c r="C9" s="12" t="e">
        <f>C4/C8</f>
        <v>#DIV/0!</v>
      </c>
    </row>
    <row r="12" spans="1:6" ht="15.35" x14ac:dyDescent="0.5">
      <c r="B12" s="6" t="s">
        <v>177</v>
      </c>
      <c r="C12" t="s">
        <v>178</v>
      </c>
      <c r="D12" t="s">
        <v>179</v>
      </c>
    </row>
    <row r="13" spans="1:6" x14ac:dyDescent="0.5">
      <c r="B13" t="s">
        <v>84</v>
      </c>
      <c r="C13" s="12">
        <f>SUMIF('2. Pedidos'!W:W,"Popular",'2. Pedidos'!T:T)</f>
        <v>7850</v>
      </c>
      <c r="D13">
        <f>COUNTIF('2. Pedidos'!W:W,"Popular")</f>
        <v>3</v>
      </c>
    </row>
    <row r="14" spans="1:6" x14ac:dyDescent="0.5">
      <c r="B14" t="s">
        <v>105</v>
      </c>
      <c r="C14" s="12">
        <f>SUMIF('2. Pedidos'!W:W,"Banreservas",'2. Pedidos'!T:T)</f>
        <v>14100</v>
      </c>
      <c r="D14">
        <f>COUNTIF('2. Pedidos'!W:W,"Banreservas")</f>
        <v>5</v>
      </c>
    </row>
    <row r="15" spans="1:6" x14ac:dyDescent="0.5">
      <c r="B15" t="s">
        <v>123</v>
      </c>
      <c r="C15" s="12">
        <f>SUMIF('2. Pedidos'!W:W,"BHD",'2. Pedidos'!T:T)</f>
        <v>1952</v>
      </c>
      <c r="D15">
        <f>COUNTIF('2. Pedidos'!W:W,"BHD")</f>
        <v>1</v>
      </c>
    </row>
    <row r="16" spans="1:6" x14ac:dyDescent="0.5">
      <c r="B16" t="s">
        <v>180</v>
      </c>
      <c r="C16" s="12">
        <f>SUMIF('2. Pedidos'!W:W,"Efectivo",'2. Pedidos'!T:T)</f>
        <v>0</v>
      </c>
      <c r="D16">
        <f>COUNTIF('2. Pedidos'!W:W,"Efectivo")</f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"/>
  <sheetViews>
    <sheetView workbookViewId="0"/>
  </sheetViews>
  <sheetFormatPr baseColWidth="10" defaultColWidth="8.9375" defaultRowHeight="14.35" x14ac:dyDescent="0.5"/>
  <cols>
    <col min="1" max="1" width="100" customWidth="1"/>
  </cols>
  <sheetData>
    <row r="1" spans="1:4" ht="20" x14ac:dyDescent="0.6">
      <c r="A1" s="23" t="s">
        <v>181</v>
      </c>
      <c r="B1" s="19"/>
      <c r="C1" s="19"/>
      <c r="D1" s="19"/>
    </row>
    <row r="3" spans="1:4" ht="409.6" customHeight="1" x14ac:dyDescent="0.5">
      <c r="A3" s="22" t="s">
        <v>182</v>
      </c>
      <c r="B3" s="19"/>
      <c r="C3" s="19"/>
      <c r="D3" s="19"/>
    </row>
    <row r="4" spans="1:4" x14ac:dyDescent="0.5">
      <c r="A4" s="19"/>
      <c r="B4" s="19"/>
      <c r="C4" s="19"/>
      <c r="D4" s="19"/>
    </row>
    <row r="5" spans="1:4" x14ac:dyDescent="0.5">
      <c r="A5" s="19"/>
      <c r="B5" s="19"/>
      <c r="C5" s="19"/>
      <c r="D5" s="19"/>
    </row>
    <row r="6" spans="1:4" x14ac:dyDescent="0.5">
      <c r="A6" s="19"/>
      <c r="B6" s="19"/>
      <c r="C6" s="19"/>
      <c r="D6" s="19"/>
    </row>
    <row r="7" spans="1:4" x14ac:dyDescent="0.5">
      <c r="A7" s="19"/>
      <c r="B7" s="19"/>
      <c r="C7" s="19"/>
      <c r="D7" s="19"/>
    </row>
    <row r="8" spans="1:4" x14ac:dyDescent="0.5">
      <c r="A8" s="19"/>
      <c r="B8" s="19"/>
      <c r="C8" s="19"/>
      <c r="D8" s="19"/>
    </row>
    <row r="9" spans="1:4" x14ac:dyDescent="0.5">
      <c r="A9" s="19"/>
      <c r="B9" s="19"/>
      <c r="C9" s="19"/>
      <c r="D9" s="19"/>
    </row>
    <row r="10" spans="1:4" x14ac:dyDescent="0.5">
      <c r="A10" s="19"/>
      <c r="B10" s="19"/>
      <c r="C10" s="19"/>
      <c r="D10" s="19"/>
    </row>
    <row r="11" spans="1:4" x14ac:dyDescent="0.5">
      <c r="A11" s="19"/>
      <c r="B11" s="19"/>
      <c r="C11" s="19"/>
      <c r="D11" s="19"/>
    </row>
    <row r="12" spans="1:4" x14ac:dyDescent="0.5">
      <c r="A12" s="19"/>
      <c r="B12" s="19"/>
      <c r="C12" s="19"/>
      <c r="D12" s="19"/>
    </row>
    <row r="13" spans="1:4" x14ac:dyDescent="0.5">
      <c r="A13" s="19"/>
      <c r="B13" s="19"/>
      <c r="C13" s="19"/>
      <c r="D13" s="19"/>
    </row>
    <row r="14" spans="1:4" x14ac:dyDescent="0.5">
      <c r="A14" s="19"/>
      <c r="B14" s="19"/>
      <c r="C14" s="19"/>
      <c r="D14" s="19"/>
    </row>
    <row r="15" spans="1:4" x14ac:dyDescent="0.5">
      <c r="A15" s="19"/>
      <c r="B15" s="19"/>
      <c r="C15" s="19"/>
      <c r="D15" s="19"/>
    </row>
    <row r="16" spans="1:4" x14ac:dyDescent="0.5">
      <c r="A16" s="19"/>
      <c r="B16" s="19"/>
      <c r="C16" s="19"/>
      <c r="D16" s="19"/>
    </row>
    <row r="17" spans="1:4" x14ac:dyDescent="0.5">
      <c r="A17" s="19"/>
      <c r="B17" s="19"/>
      <c r="C17" s="19"/>
      <c r="D17" s="19"/>
    </row>
    <row r="18" spans="1:4" x14ac:dyDescent="0.5">
      <c r="A18" s="19"/>
      <c r="B18" s="19"/>
      <c r="C18" s="19"/>
      <c r="D18" s="19"/>
    </row>
    <row r="19" spans="1:4" x14ac:dyDescent="0.5">
      <c r="A19" s="19"/>
      <c r="B19" s="19"/>
      <c r="C19" s="19"/>
      <c r="D19" s="19"/>
    </row>
    <row r="20" spans="1:4" x14ac:dyDescent="0.5">
      <c r="A20" s="19"/>
      <c r="B20" s="19"/>
      <c r="C20" s="19"/>
      <c r="D20" s="19"/>
    </row>
    <row r="21" spans="1:4" x14ac:dyDescent="0.5">
      <c r="A21" s="19"/>
      <c r="B21" s="19"/>
      <c r="C21" s="19"/>
      <c r="D21" s="19"/>
    </row>
    <row r="22" spans="1:4" x14ac:dyDescent="0.5">
      <c r="A22" s="19"/>
      <c r="B22" s="19"/>
      <c r="C22" s="19"/>
      <c r="D22" s="19"/>
    </row>
    <row r="23" spans="1:4" x14ac:dyDescent="0.5">
      <c r="A23" s="19"/>
      <c r="B23" s="19"/>
      <c r="C23" s="19"/>
      <c r="D23" s="19"/>
    </row>
    <row r="24" spans="1:4" x14ac:dyDescent="0.5">
      <c r="A24" s="19"/>
      <c r="B24" s="19"/>
      <c r="C24" s="19"/>
      <c r="D24" s="19"/>
    </row>
    <row r="25" spans="1:4" x14ac:dyDescent="0.5">
      <c r="A25" s="19"/>
      <c r="B25" s="19"/>
      <c r="C25" s="19"/>
      <c r="D25" s="19"/>
    </row>
    <row r="26" spans="1:4" x14ac:dyDescent="0.5">
      <c r="A26" s="19"/>
      <c r="B26" s="19"/>
      <c r="C26" s="19"/>
      <c r="D26" s="19"/>
    </row>
    <row r="27" spans="1:4" x14ac:dyDescent="0.5">
      <c r="A27" s="19"/>
      <c r="B27" s="19"/>
      <c r="C27" s="19"/>
      <c r="D27" s="19"/>
    </row>
    <row r="28" spans="1:4" x14ac:dyDescent="0.5">
      <c r="A28" s="19"/>
      <c r="B28" s="19"/>
      <c r="C28" s="19"/>
      <c r="D28" s="19"/>
    </row>
    <row r="29" spans="1:4" x14ac:dyDescent="0.5">
      <c r="A29" s="19"/>
      <c r="B29" s="19"/>
      <c r="C29" s="19"/>
      <c r="D29" s="19"/>
    </row>
    <row r="30" spans="1:4" x14ac:dyDescent="0.5">
      <c r="A30" s="19"/>
      <c r="B30" s="19"/>
      <c r="C30" s="19"/>
      <c r="D30" s="19"/>
    </row>
    <row r="31" spans="1:4" x14ac:dyDescent="0.5">
      <c r="A31" s="19"/>
      <c r="B31" s="19"/>
      <c r="C31" s="19"/>
      <c r="D31" s="19"/>
    </row>
    <row r="32" spans="1:4" x14ac:dyDescent="0.5">
      <c r="A32" s="19"/>
      <c r="B32" s="19"/>
      <c r="C32" s="19"/>
      <c r="D32" s="19"/>
    </row>
    <row r="33" spans="1:4" x14ac:dyDescent="0.5">
      <c r="A33" s="19"/>
      <c r="B33" s="19"/>
      <c r="C33" s="19"/>
      <c r="D33" s="19"/>
    </row>
    <row r="34" spans="1:4" x14ac:dyDescent="0.5">
      <c r="A34" s="19"/>
      <c r="B34" s="19"/>
      <c r="C34" s="19"/>
      <c r="D34" s="19"/>
    </row>
    <row r="35" spans="1:4" x14ac:dyDescent="0.5">
      <c r="A35" s="19"/>
      <c r="B35" s="19"/>
      <c r="C35" s="19"/>
      <c r="D35" s="19"/>
    </row>
    <row r="36" spans="1:4" x14ac:dyDescent="0.5">
      <c r="A36" s="19"/>
      <c r="B36" s="19"/>
      <c r="C36" s="19"/>
      <c r="D36" s="19"/>
    </row>
    <row r="37" spans="1:4" x14ac:dyDescent="0.5">
      <c r="A37" s="19"/>
      <c r="B37" s="19"/>
      <c r="C37" s="19"/>
      <c r="D37" s="19"/>
    </row>
    <row r="38" spans="1:4" x14ac:dyDescent="0.5">
      <c r="A38" s="19"/>
      <c r="B38" s="19"/>
      <c r="C38" s="19"/>
      <c r="D38" s="19"/>
    </row>
    <row r="39" spans="1:4" x14ac:dyDescent="0.5">
      <c r="A39" s="19"/>
      <c r="B39" s="19"/>
      <c r="C39" s="19"/>
      <c r="D39" s="19"/>
    </row>
    <row r="40" spans="1:4" x14ac:dyDescent="0.5">
      <c r="A40" s="19"/>
      <c r="B40" s="19"/>
      <c r="C40" s="19"/>
      <c r="D40" s="19"/>
    </row>
    <row r="41" spans="1:4" x14ac:dyDescent="0.5">
      <c r="A41" s="19"/>
      <c r="B41" s="19"/>
      <c r="C41" s="19"/>
      <c r="D41" s="19"/>
    </row>
    <row r="42" spans="1:4" x14ac:dyDescent="0.5">
      <c r="A42" s="19"/>
      <c r="B42" s="19"/>
      <c r="C42" s="19"/>
      <c r="D42" s="19"/>
    </row>
    <row r="43" spans="1:4" x14ac:dyDescent="0.5">
      <c r="A43" s="19"/>
      <c r="B43" s="19"/>
      <c r="C43" s="19"/>
      <c r="D43" s="19"/>
    </row>
    <row r="44" spans="1:4" x14ac:dyDescent="0.5">
      <c r="A44" s="19"/>
      <c r="B44" s="19"/>
      <c r="C44" s="19"/>
      <c r="D44" s="19"/>
    </row>
    <row r="45" spans="1:4" x14ac:dyDescent="0.5">
      <c r="A45" s="19"/>
      <c r="B45" s="19"/>
      <c r="C45" s="19"/>
      <c r="D45" s="19"/>
    </row>
    <row r="46" spans="1:4" x14ac:dyDescent="0.5">
      <c r="A46" s="19"/>
      <c r="B46" s="19"/>
      <c r="C46" s="19"/>
      <c r="D46" s="19"/>
    </row>
    <row r="47" spans="1:4" x14ac:dyDescent="0.5">
      <c r="A47" s="19"/>
      <c r="B47" s="19"/>
      <c r="C47" s="19"/>
      <c r="D47" s="19"/>
    </row>
    <row r="48" spans="1:4" x14ac:dyDescent="0.5">
      <c r="A48" s="19"/>
      <c r="B48" s="19"/>
      <c r="C48" s="19"/>
      <c r="D48" s="19"/>
    </row>
    <row r="49" spans="1:4" x14ac:dyDescent="0.5">
      <c r="A49" s="19"/>
      <c r="B49" s="19"/>
      <c r="C49" s="19"/>
      <c r="D49" s="19"/>
    </row>
    <row r="50" spans="1:4" x14ac:dyDescent="0.5">
      <c r="A50" s="19"/>
      <c r="B50" s="19"/>
      <c r="C50" s="19"/>
      <c r="D50" s="19"/>
    </row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Catálogo</vt:lpstr>
      <vt:lpstr>2. Pedidos</vt:lpstr>
      <vt:lpstr>3. Dashboard</vt:lpstr>
      <vt:lpstr>4. Clientes</vt:lpstr>
      <vt:lpstr>5. Inventario</vt:lpstr>
      <vt:lpstr>6. Finanzas</vt:lpstr>
      <vt:lpstr>7.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DAYAN  PANIAGUA ROBLES</cp:lastModifiedBy>
  <dcterms:created xsi:type="dcterms:W3CDTF">2026-02-07T02:48:28Z</dcterms:created>
  <dcterms:modified xsi:type="dcterms:W3CDTF">2026-02-09T04:54:33Z</dcterms:modified>
</cp:coreProperties>
</file>