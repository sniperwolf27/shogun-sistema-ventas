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0186" windowHeight="12800" tabRatio="600" firstSheet="0" activeTab="1" autoFilterDateGrouping="1"/>
  </bookViews>
  <sheets>
    <sheet name="1. Catálogo" sheetId="1" state="visible" r:id="rId1"/>
    <sheet name="2. Pedidos" sheetId="2" state="visible" r:id="rId2"/>
    <sheet name="3. Dashboard" sheetId="3" state="visible" r:id="rId3"/>
    <sheet name="4. Clientes" sheetId="4" state="visible" r:id="rId4"/>
    <sheet name="5. Inventario" sheetId="5" state="visible" r:id="rId5"/>
    <sheet name="6. Finanzas" sheetId="6" state="visible" r:id="rId6"/>
    <sheet name="7. Instruccione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0.0%"/>
    <numFmt numFmtId="166" formatCode="DD/MM/YYYY"/>
    <numFmt numFmtId="167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FF2F5496"/>
      <sz val="16"/>
    </font>
    <font>
      <name val="Arial"/>
      <b val="1"/>
      <color rgb="FFFFFFFF"/>
      <sz val="11"/>
    </font>
    <font>
      <name val="Arial"/>
      <b val="1"/>
      <color rgb="FF2F5496"/>
      <sz val="12"/>
    </font>
    <font>
      <name val="Arial"/>
      <b val="1"/>
      <color rgb="FFFFFFFF"/>
      <sz val="10"/>
    </font>
    <font>
      <name val="Arial"/>
      <b val="1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5B9BD5"/>
        <bgColor rgb="FF5B9BD5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  <xf numFmtId="164" fontId="6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0" fillId="0" borderId="1" pivotButton="0" quotePrefix="0" xfId="0"/>
    <xf numFmtId="14" fontId="0" fillId="0" borderId="1" pivotButton="0" quotePrefix="0" xfId="0"/>
    <xf numFmtId="0" fontId="7" fillId="0" borderId="0" pivotButton="0" quotePrefix="0" xfId="0"/>
    <xf numFmtId="165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2" applyAlignment="1" pivotButton="0" quotePrefix="0" xfId="0">
      <alignment vertical="center"/>
    </xf>
    <xf numFmtId="14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right"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/>
    </xf>
    <xf numFmtId="14" fontId="0" fillId="0" borderId="9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/>
    </xf>
    <xf numFmtId="164" fontId="0" fillId="0" borderId="9" applyAlignment="1" pivotButton="0" quotePrefix="0" xfId="0">
      <alignment horizontal="right" vertical="center"/>
    </xf>
    <xf numFmtId="0" fontId="0" fillId="0" borderId="10" applyAlignment="1" pivotButton="0" quotePrefix="0" xfId="0">
      <alignment vertical="center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dxfs count="38">
    <dxf>
      <font>
        <name val="Arial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 patternType="solid">
          <fgColor rgb="FF2F5496"/>
          <bgColor rgb="FF2F549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\$#,##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la1" displayName="Tabla1" ref="A3:Y12" headerRowCount="1" totalsRowShown="0" headerRowDxfId="0" headerRowBorderDxfId="27" tableBorderDxfId="28" totalsRowBorderDxfId="26">
  <autoFilter ref="A3:Y12"/>
  <sortState ref="A4:Y12">
    <sortCondition ref="B3:B12"/>
  </sortState>
  <tableColumns count="25">
    <tableColumn id="1" name="ID" dataDxfId="25"/>
    <tableColumn id="2" name="Fecha Pago" dataDxfId="24"/>
    <tableColumn id="3" name="Fecha Compromiso" dataDxfId="23"/>
    <tableColumn id="4" name="Fecha Entrega Real" dataDxfId="22"/>
    <tableColumn id="5" name="Días Prod." dataDxfId="21">
      <calculatedColumnFormula>C4-B4</calculatedColumnFormula>
    </tableColumn>
    <tableColumn id="6" name="Días Retraso" dataDxfId="20">
      <calculatedColumnFormula>IF(D4="",IF(TODAY()&gt;C4,TODAY()-C4,0),IF(D4&gt;C4,D4-C4,0))</calculatedColumnFormula>
    </tableColumn>
    <tableColumn id="7" name="SKU Producto" dataDxfId="19"/>
    <tableColumn id="8" name="Producto" dataDxfId="18"/>
    <tableColumn id="9" name="Talla" dataDxfId="17"/>
    <tableColumn id="10" name="Personalización" dataDxfId="16"/>
    <tableColumn id="11" name="Costo Person." dataDxfId="15"/>
    <tableColumn id="12" name="Cliente" dataDxfId="14"/>
    <tableColumn id="13" name="Teléfono" dataDxfId="13"/>
    <tableColumn id="14" name="Email" dataDxfId="12"/>
    <tableColumn id="15" name="Dirección" dataDxfId="11"/>
    <tableColumn id="16" name="Canal" dataDxfId="10"/>
    <tableColumn id="17" name="Precio Producto" dataDxfId="9"/>
    <tableColumn id="18" name="Precio Person." dataDxfId="8"/>
    <tableColumn id="19" name="Precio Envío" dataDxfId="7"/>
    <tableColumn id="20" name="Precio Total" dataDxfId="6">
      <calculatedColumnFormula>Q4+R4+S4</calculatedColumnFormula>
    </tableColumn>
    <tableColumn id="21" name="Costo Total" dataDxfId="5">
      <calculatedColumnFormula>VLOOKUP(G4,'1. Catálogo'!$A$4:$G$7,7,FALSE)+K4+S4</calculatedColumnFormula>
    </tableColumn>
    <tableColumn id="22" name="Ganancia" dataDxfId="4">
      <calculatedColumnFormula>T4-U4</calculatedColumnFormula>
    </tableColumn>
    <tableColumn id="23" name="Banco" dataDxfId="3"/>
    <tableColumn id="24" name="Estatus Pago" dataDxfId="2"/>
    <tableColumn id="25" name="Estatus Producció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J12" sqref="J12"/>
    </sheetView>
  </sheetViews>
  <sheetFormatPr baseColWidth="10" defaultColWidth="8.9375" defaultRowHeight="14.35"/>
  <cols>
    <col width="15" customWidth="1" style="18" min="1" max="1"/>
    <col width="28" customWidth="1" style="18" min="2" max="2"/>
    <col width="15" customWidth="1" style="18" min="3" max="3"/>
    <col width="12" customWidth="1" style="18" min="4" max="4"/>
    <col width="15" customWidth="1" style="18" min="5" max="6"/>
    <col width="12" customWidth="1" style="18" min="7" max="9"/>
    <col width="18" customWidth="1" style="18" min="10" max="10"/>
  </cols>
  <sheetData>
    <row r="1" ht="25" customHeight="1" s="18">
      <c r="A1" s="17" t="inlineStr">
        <is>
          <t>CATÁLOGO DE PRODUCTOS Y SERVICIOS</t>
        </is>
      </c>
    </row>
    <row r="3" ht="27.35" customHeight="1" s="18">
      <c r="A3" s="1" t="inlineStr">
        <is>
          <t>Código SKU</t>
        </is>
      </c>
      <c r="B3" s="1" t="inlineStr">
        <is>
          <t>Nombre Producto</t>
        </is>
      </c>
      <c r="C3" s="1" t="inlineStr">
        <is>
          <t>Categoría</t>
        </is>
      </c>
      <c r="D3" s="1" t="inlineStr">
        <is>
          <t>Precio Base</t>
        </is>
      </c>
      <c r="E3" s="1" t="inlineStr">
        <is>
          <t>Costo Material</t>
        </is>
      </c>
      <c r="F3" s="1" t="inlineStr">
        <is>
          <t>Costo Mano Obra</t>
        </is>
      </c>
      <c r="G3" s="1" t="inlineStr">
        <is>
          <t>Costo Total</t>
        </is>
      </c>
      <c r="H3" s="1" t="inlineStr">
        <is>
          <t>Margen $</t>
        </is>
      </c>
      <c r="I3" s="1" t="inlineStr">
        <is>
          <t>Margen %</t>
        </is>
      </c>
      <c r="J3" s="1" t="inlineStr">
        <is>
          <t>Tiempo Prod. (días)</t>
        </is>
      </c>
    </row>
    <row r="4">
      <c r="A4" s="2" t="inlineStr">
        <is>
          <t>TS-BL-OS</t>
        </is>
      </c>
      <c r="B4" s="2" t="inlineStr">
        <is>
          <t>T-shirt Blanco Oversize</t>
        </is>
      </c>
      <c r="C4" s="2" t="inlineStr">
        <is>
          <t>Camisetas</t>
        </is>
      </c>
      <c r="D4" s="3" t="n">
        <v>2200</v>
      </c>
      <c r="E4" s="3" t="n">
        <v>400</v>
      </c>
      <c r="F4" s="3" t="n">
        <v>300</v>
      </c>
      <c r="G4" s="3">
        <f>E4+F4</f>
        <v/>
      </c>
      <c r="H4" s="3">
        <f>D4-G4</f>
        <v/>
      </c>
      <c r="I4" s="4">
        <f>H4/D4</f>
        <v/>
      </c>
      <c r="J4" s="5" t="n">
        <v>10</v>
      </c>
    </row>
    <row r="5">
      <c r="A5" s="2" t="inlineStr">
        <is>
          <t>TS-NEG-OS</t>
        </is>
      </c>
      <c r="B5" s="2" t="inlineStr">
        <is>
          <t>T-shirt Negro Oversize</t>
        </is>
      </c>
      <c r="C5" s="2" t="inlineStr">
        <is>
          <t>Camisetas</t>
        </is>
      </c>
      <c r="D5" s="3" t="n">
        <v>2200</v>
      </c>
      <c r="E5" s="3" t="n">
        <v>350</v>
      </c>
      <c r="F5" s="3" t="n">
        <v>300</v>
      </c>
      <c r="G5" s="3">
        <f>E5+F5</f>
        <v/>
      </c>
      <c r="H5" s="3">
        <f>D5-G5</f>
        <v/>
      </c>
      <c r="I5" s="4">
        <f>H5/D5</f>
        <v/>
      </c>
      <c r="J5" s="5" t="n">
        <v>10</v>
      </c>
    </row>
    <row r="6">
      <c r="A6" s="2" t="inlineStr">
        <is>
          <t>HD-NEG-ST</t>
        </is>
      </c>
      <c r="B6" s="2" t="inlineStr">
        <is>
          <t>Hoodie Negro Standard</t>
        </is>
      </c>
      <c r="C6" s="2" t="inlineStr">
        <is>
          <t>Hoodies</t>
        </is>
      </c>
      <c r="D6" s="3" t="n">
        <v>2700</v>
      </c>
      <c r="E6" s="3" t="n">
        <v>800</v>
      </c>
      <c r="F6" s="3" t="n">
        <v>500</v>
      </c>
      <c r="G6" s="3">
        <f>E6+F6</f>
        <v/>
      </c>
      <c r="H6" s="3">
        <f>D6-G6</f>
        <v/>
      </c>
      <c r="I6" s="4">
        <f>H6/D6</f>
        <v/>
      </c>
      <c r="J6" s="5" t="n">
        <v>10</v>
      </c>
    </row>
    <row r="7">
      <c r="A7" s="2" t="inlineStr">
        <is>
          <t>HD-BL-ST</t>
        </is>
      </c>
      <c r="B7" s="2" t="inlineStr">
        <is>
          <t>Hoodie Blanco Standard</t>
        </is>
      </c>
      <c r="C7" s="2" t="inlineStr">
        <is>
          <t>Hoodies</t>
        </is>
      </c>
      <c r="D7" s="3" t="n">
        <v>2700</v>
      </c>
      <c r="E7" s="3" t="n">
        <v>800</v>
      </c>
      <c r="F7" s="3" t="n">
        <v>500</v>
      </c>
      <c r="G7" s="3">
        <f>E7+F7</f>
        <v/>
      </c>
      <c r="H7" s="3">
        <f>D7-G7</f>
        <v/>
      </c>
      <c r="I7" s="4">
        <f>H7/D7</f>
        <v/>
      </c>
      <c r="J7" s="5" t="n">
        <v>10</v>
      </c>
    </row>
    <row r="8">
      <c r="A8" t="inlineStr">
        <is>
          <t>TS-BL-ST</t>
        </is>
      </c>
      <c r="B8" s="2" t="inlineStr">
        <is>
          <t>T-shirt Blanco Standard</t>
        </is>
      </c>
      <c r="C8" s="2" t="inlineStr">
        <is>
          <t>Camisetas</t>
        </is>
      </c>
      <c r="D8" s="3" t="n">
        <v>2000</v>
      </c>
      <c r="E8" s="3" t="n">
        <v>800</v>
      </c>
      <c r="F8" s="3" t="n">
        <v>500</v>
      </c>
      <c r="G8" s="3">
        <f>E8+F8</f>
        <v/>
      </c>
      <c r="H8" s="3">
        <f>D8-G8</f>
        <v/>
      </c>
      <c r="I8" s="4">
        <f>H8/D8</f>
        <v/>
      </c>
      <c r="J8" s="5" t="n">
        <v>10</v>
      </c>
    </row>
    <row r="9">
      <c r="A9" t="inlineStr">
        <is>
          <t>TS-BL-ST</t>
        </is>
      </c>
      <c r="B9" s="2" t="inlineStr">
        <is>
          <t>T-shirt Negro Standard</t>
        </is>
      </c>
      <c r="C9" s="2" t="inlineStr">
        <is>
          <t>Camisetas</t>
        </is>
      </c>
      <c r="D9" s="3" t="n">
        <v>2000</v>
      </c>
      <c r="E9" s="3" t="n">
        <v>800</v>
      </c>
      <c r="F9" s="3" t="n">
        <v>500</v>
      </c>
      <c r="G9" s="3">
        <f>E9+F9</f>
        <v/>
      </c>
      <c r="H9" s="3">
        <f>D9-G9</f>
        <v/>
      </c>
      <c r="I9" s="4">
        <f>H9/D9</f>
        <v/>
      </c>
      <c r="J9" s="5" t="n">
        <v>10</v>
      </c>
    </row>
    <row r="10" ht="15.35" customHeight="1" s="18">
      <c r="A10" s="19" t="inlineStr">
        <is>
          <t>SERVICIOS DE PERSONALIZACIÓN</t>
        </is>
      </c>
    </row>
    <row r="11" ht="38" customHeight="1" s="18">
      <c r="A11" s="7" t="inlineStr">
        <is>
          <t>Código</t>
        </is>
      </c>
      <c r="B11" s="7" t="inlineStr">
        <is>
          <t>Tipo Personalización</t>
        </is>
      </c>
      <c r="C11" s="7" t="inlineStr">
        <is>
          <t>Precio</t>
        </is>
      </c>
      <c r="D11" s="7" t="inlineStr">
        <is>
          <t>Tiempo Adicional (días)</t>
        </is>
      </c>
      <c r="E11" s="7" t="inlineStr">
        <is>
          <t>Descripción</t>
        </is>
      </c>
      <c r="F11" s="7" t="inlineStr">
        <is>
          <t>Activo</t>
        </is>
      </c>
    </row>
    <row r="12">
      <c r="A12" s="8" t="inlineStr">
        <is>
          <t>BORD-FRNT</t>
        </is>
      </c>
      <c r="B12" s="8" t="inlineStr">
        <is>
          <t>Bordado Frontal</t>
        </is>
      </c>
      <c r="C12" s="3" t="n">
        <v>150</v>
      </c>
      <c r="D12" s="5" t="n">
        <v>1</v>
      </c>
      <c r="E12" s="8" t="inlineStr">
        <is>
          <t>Bordado simple en frente</t>
        </is>
      </c>
      <c r="F12" s="8" t="inlineStr">
        <is>
          <t>Sí</t>
        </is>
      </c>
    </row>
    <row r="13">
      <c r="A13" s="8" t="inlineStr">
        <is>
          <t>BORD-BACK</t>
        </is>
      </c>
      <c r="B13" s="8" t="inlineStr">
        <is>
          <t>Bordado Espalda</t>
        </is>
      </c>
      <c r="C13" s="3" t="n">
        <v>150</v>
      </c>
      <c r="D13" s="5" t="n">
        <v>1</v>
      </c>
      <c r="E13" s="8" t="inlineStr">
        <is>
          <t>Bordado simple en espalda</t>
        </is>
      </c>
      <c r="F13" s="8" t="inlineStr">
        <is>
          <t>Sí</t>
        </is>
      </c>
    </row>
    <row r="14">
      <c r="A14" s="8" t="inlineStr">
        <is>
          <t>BORD-DBL</t>
        </is>
      </c>
      <c r="B14" s="8" t="inlineStr">
        <is>
          <t>Bordado Doble</t>
        </is>
      </c>
      <c r="C14" s="3" t="n">
        <v>250</v>
      </c>
      <c r="D14" s="5" t="n">
        <v>2</v>
      </c>
      <c r="E14" s="8" t="inlineStr">
        <is>
          <t>Bordado frente y espalda</t>
        </is>
      </c>
      <c r="F14" s="8" t="inlineStr">
        <is>
          <t>Sí</t>
        </is>
      </c>
    </row>
    <row r="15">
      <c r="A15" s="8" t="inlineStr">
        <is>
          <t>PRINT-FRNT</t>
        </is>
      </c>
      <c r="B15" s="8" t="inlineStr">
        <is>
          <t>Estampado Frontal</t>
        </is>
      </c>
      <c r="C15" s="3" t="n">
        <v>100</v>
      </c>
      <c r="D15" s="5" t="n">
        <v>0</v>
      </c>
      <c r="E15" s="8" t="inlineStr">
        <is>
          <t>Estampado en frente</t>
        </is>
      </c>
      <c r="F15" s="8" t="inlineStr">
        <is>
          <t>Sí</t>
        </is>
      </c>
    </row>
    <row r="16">
      <c r="A16" s="8" t="inlineStr">
        <is>
          <t>EMBROID-LUX</t>
        </is>
      </c>
      <c r="B16" s="8" t="inlineStr">
        <is>
          <t>Bordado Lujo</t>
        </is>
      </c>
      <c r="C16" s="3" t="n">
        <v>500</v>
      </c>
      <c r="D16" s="5" t="n">
        <v>3</v>
      </c>
      <c r="E16" s="8" t="inlineStr">
        <is>
          <t>Bordado complejo multicolor</t>
        </is>
      </c>
      <c r="F16" s="8" t="inlineStr">
        <is>
          <t>Sí</t>
        </is>
      </c>
    </row>
  </sheetData>
  <mergeCells count="2">
    <mergeCell ref="A1:J1"/>
    <mergeCell ref="A10:F10"/>
  </mergeCell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Y12"/>
  <sheetViews>
    <sheetView tabSelected="1" workbookViewId="0">
      <pane ySplit="3" topLeftCell="A4" activePane="bottomLeft" state="frozen"/>
      <selection pane="bottomLeft" activeCell="C17" sqref="C17"/>
    </sheetView>
  </sheetViews>
  <sheetFormatPr baseColWidth="10" defaultColWidth="8.9375" defaultRowHeight="14.35"/>
  <cols>
    <col width="7" bestFit="1" customWidth="1" style="18" min="1" max="1"/>
    <col width="15.8203125" bestFit="1" customWidth="1" style="18" min="2" max="2"/>
    <col width="23.1171875" bestFit="1" customWidth="1" style="18" min="3" max="3"/>
    <col width="23" bestFit="1" customWidth="1" style="18" min="4" max="4"/>
    <col width="14.52734375" bestFit="1" customWidth="1" style="18" min="5" max="5"/>
    <col width="16.8203125" bestFit="1" customWidth="1" style="18" min="6" max="6"/>
    <col width="18.1171875" bestFit="1" customWidth="1" style="18" min="7" max="7"/>
    <col width="23" bestFit="1" customWidth="1" style="18" min="8" max="8"/>
    <col width="9.52734375" bestFit="1" customWidth="1" style="18" min="9" max="9"/>
    <col width="34.703125" bestFit="1" customWidth="1" style="18" min="10" max="10"/>
    <col width="18.1171875" bestFit="1" customWidth="1" style="18" min="11" max="11"/>
    <col width="23.41015625" bestFit="1" customWidth="1" style="18" min="12" max="12"/>
    <col width="13.17578125" bestFit="1" customWidth="1" style="18" min="13" max="13"/>
    <col width="10.234375" bestFit="1" customWidth="1" style="18" min="14" max="14"/>
    <col width="17.5859375" bestFit="1" customWidth="1" style="18" min="15" max="15"/>
    <col width="10.3515625" bestFit="1" customWidth="1" style="18" min="16" max="16"/>
    <col width="19.87890625" bestFit="1" customWidth="1" style="18" min="17" max="17"/>
    <col width="18.46875" bestFit="1" customWidth="1" style="18" min="18" max="18"/>
    <col width="16.76171875" bestFit="1" customWidth="1" style="18" min="19" max="19"/>
    <col width="16.1171875" bestFit="1" customWidth="1" style="18" min="20" max="20"/>
    <col width="15.76171875" bestFit="1" customWidth="1" style="18" min="21" max="21"/>
    <col width="13.76171875" bestFit="1" customWidth="1" style="18" min="22" max="22"/>
    <col width="10.9375" bestFit="1" customWidth="1" style="18" min="23" max="23"/>
    <col width="17.234375" bestFit="1" customWidth="1" style="18" min="24" max="24"/>
    <col width="23.17578125" bestFit="1" customWidth="1" style="18" min="25" max="25"/>
  </cols>
  <sheetData>
    <row r="1" ht="25" customHeight="1" s="18">
      <c r="A1" s="17" t="inlineStr">
        <is>
          <t>REGISTRO DE PEDIDOS</t>
        </is>
      </c>
    </row>
    <row r="3" ht="27.35" customHeight="1" s="18">
      <c r="A3" s="29" t="inlineStr">
        <is>
          <t>ID</t>
        </is>
      </c>
      <c r="B3" s="30" t="inlineStr">
        <is>
          <t>Fecha Pago</t>
        </is>
      </c>
      <c r="C3" s="30" t="inlineStr">
        <is>
          <t>Fecha Compromiso</t>
        </is>
      </c>
      <c r="D3" s="30" t="inlineStr">
        <is>
          <t>Fecha Entrega Real</t>
        </is>
      </c>
      <c r="E3" s="30" t="inlineStr">
        <is>
          <t>Días Prod.</t>
        </is>
      </c>
      <c r="F3" s="30" t="inlineStr">
        <is>
          <t>Días Retraso</t>
        </is>
      </c>
      <c r="G3" s="30" t="inlineStr">
        <is>
          <t>SKU Producto</t>
        </is>
      </c>
      <c r="H3" s="30" t="inlineStr">
        <is>
          <t>Producto</t>
        </is>
      </c>
      <c r="I3" s="30" t="inlineStr">
        <is>
          <t>Talla</t>
        </is>
      </c>
      <c r="J3" s="30" t="inlineStr">
        <is>
          <t>Personalización</t>
        </is>
      </c>
      <c r="K3" s="30" t="inlineStr">
        <is>
          <t>Costo Person.</t>
        </is>
      </c>
      <c r="L3" s="30" t="inlineStr">
        <is>
          <t>Cliente</t>
        </is>
      </c>
      <c r="M3" s="30" t="inlineStr">
        <is>
          <t>Teléfono</t>
        </is>
      </c>
      <c r="N3" s="30" t="inlineStr">
        <is>
          <t>Email</t>
        </is>
      </c>
      <c r="O3" s="30" t="inlineStr">
        <is>
          <t>Dirección</t>
        </is>
      </c>
      <c r="P3" s="30" t="inlineStr">
        <is>
          <t>Canal</t>
        </is>
      </c>
      <c r="Q3" s="30" t="inlineStr">
        <is>
          <t>Precio Producto</t>
        </is>
      </c>
      <c r="R3" s="30" t="inlineStr">
        <is>
          <t>Precio Person.</t>
        </is>
      </c>
      <c r="S3" s="30" t="inlineStr">
        <is>
          <t>Precio Envío</t>
        </is>
      </c>
      <c r="T3" s="30" t="inlineStr">
        <is>
          <t>Precio Total</t>
        </is>
      </c>
      <c r="U3" s="30" t="inlineStr">
        <is>
          <t>Costo Total</t>
        </is>
      </c>
      <c r="V3" s="30" t="inlineStr">
        <is>
          <t>Ganancia</t>
        </is>
      </c>
      <c r="W3" s="30" t="inlineStr">
        <is>
          <t>Banco</t>
        </is>
      </c>
      <c r="X3" s="30" t="inlineStr">
        <is>
          <t>Estatus Pago</t>
        </is>
      </c>
      <c r="Y3" s="31" t="inlineStr">
        <is>
          <t>Estatus Producción</t>
        </is>
      </c>
    </row>
    <row r="4">
      <c r="A4" s="27" t="inlineStr">
        <is>
          <t>P0003</t>
        </is>
      </c>
      <c r="B4" s="24" t="inlineStr">
        <is>
          <t>02/02/2026</t>
        </is>
      </c>
      <c r="C4" s="24" t="inlineStr">
        <is>
          <t>16/02/2026</t>
        </is>
      </c>
      <c r="D4" s="24" t="n"/>
      <c r="E4" s="25">
        <f>C4-B4</f>
        <v/>
      </c>
      <c r="F4" s="25">
        <f>IF(D4="",IF(TODAY()&gt;C4,TODAY()-C4,0),IF(D4&gt;C4,D4-C4,0))</f>
        <v/>
      </c>
      <c r="G4" s="23" t="inlineStr">
        <is>
          <t>TS-NEG-ST</t>
        </is>
      </c>
      <c r="H4" s="23" t="inlineStr">
        <is>
          <t>T-shirt negro</t>
        </is>
      </c>
      <c r="I4" s="25" t="inlineStr">
        <is>
          <t>L</t>
        </is>
      </c>
      <c r="J4" s="23" t="inlineStr">
        <is>
          <t>Frente bordado</t>
        </is>
      </c>
      <c r="K4" s="26" t="n">
        <v>150</v>
      </c>
      <c r="L4" s="23" t="inlineStr">
        <is>
          <t>Arlin Tomas</t>
        </is>
      </c>
      <c r="M4" s="23" t="inlineStr">
        <is>
          <t>WS</t>
        </is>
      </c>
      <c r="N4" s="23" t="n"/>
      <c r="O4" s="23" t="inlineStr">
        <is>
          <t>APTRA San Pedro</t>
        </is>
      </c>
      <c r="P4" s="23" t="inlineStr">
        <is>
          <t>WhatsApp</t>
        </is>
      </c>
      <c r="Q4" s="26" t="n">
        <v>2000</v>
      </c>
      <c r="R4" s="26" t="n">
        <v>0</v>
      </c>
      <c r="S4" s="26" t="n">
        <v>0</v>
      </c>
      <c r="T4" s="26">
        <f>Q4+R4+S4</f>
        <v/>
      </c>
      <c r="U4" s="26">
        <f>VLOOKUP(G4,'1. Catálogo'!$A$4:$G$7,7,FALSE)+K4+S4</f>
        <v/>
      </c>
      <c r="V4" s="26">
        <f>T4-U4</f>
        <v/>
      </c>
      <c r="W4" s="23" t="inlineStr">
        <is>
          <t>Popular</t>
        </is>
      </c>
      <c r="X4" s="23" t="inlineStr">
        <is>
          <t>Recibido</t>
        </is>
      </c>
      <c r="Y4" s="28" t="inlineStr">
        <is>
          <t>Listo para Envío</t>
        </is>
      </c>
    </row>
    <row r="5">
      <c r="A5" s="27" t="inlineStr">
        <is>
          <t>P0008</t>
        </is>
      </c>
      <c r="B5" s="24" t="inlineStr">
        <is>
          <t>04/02/2026</t>
        </is>
      </c>
      <c r="C5" s="24" t="inlineStr">
        <is>
          <t>13/02/2026</t>
        </is>
      </c>
      <c r="D5" s="23" t="n"/>
      <c r="E5" s="25">
        <f>C5-B5</f>
        <v/>
      </c>
      <c r="F5" s="25">
        <f>IF(D5="",IF(TODAY()&gt;C5,TODAY()-C5,0),IF(D5&gt;C5,D5-C5,0))</f>
        <v/>
      </c>
      <c r="G5" s="23" t="inlineStr">
        <is>
          <t>TS-NEG-ST</t>
        </is>
      </c>
      <c r="H5" s="23" t="inlineStr">
        <is>
          <t>T-shirt negro + Abrigo negro</t>
        </is>
      </c>
      <c r="I5" s="25" t="inlineStr">
        <is>
          <t>XL</t>
        </is>
      </c>
      <c r="J5" s="23" t="inlineStr">
        <is>
          <t>Bordado en frente</t>
        </is>
      </c>
      <c r="K5" s="26" t="n">
        <v>150</v>
      </c>
      <c r="L5" s="23" t="inlineStr">
        <is>
          <t>Katherine Pantoja</t>
        </is>
      </c>
      <c r="M5" s="23" t="inlineStr">
        <is>
          <t>WS</t>
        </is>
      </c>
      <c r="N5" s="23" t="n"/>
      <c r="O5" s="23" t="inlineStr">
        <is>
          <t>APTPRA San Pedro</t>
        </is>
      </c>
      <c r="P5" s="23" t="inlineStr">
        <is>
          <t>WhatsApp</t>
        </is>
      </c>
      <c r="Q5" s="26" t="n">
        <v>4400</v>
      </c>
      <c r="R5" s="26" t="n">
        <v>0</v>
      </c>
      <c r="S5" s="26" t="n">
        <v>0</v>
      </c>
      <c r="T5" s="26">
        <f>Q5+R5+S5</f>
        <v/>
      </c>
      <c r="U5" s="26">
        <f>VLOOKUP(G5,'1. Catálogo'!$A$4:$G$7,7,FALSE)+K5+S5</f>
        <v/>
      </c>
      <c r="V5" s="26">
        <f>T5-U5</f>
        <v/>
      </c>
      <c r="W5" s="23" t="inlineStr">
        <is>
          <t>Banreservas</t>
        </is>
      </c>
      <c r="X5" s="23" t="inlineStr">
        <is>
          <t>Recibido</t>
        </is>
      </c>
      <c r="Y5" s="28" t="inlineStr">
        <is>
          <t>En Producción</t>
        </is>
      </c>
    </row>
    <row r="6">
      <c r="A6" s="27" t="inlineStr">
        <is>
          <t>P0002</t>
        </is>
      </c>
      <c r="B6" s="24" t="inlineStr">
        <is>
          <t>15/01/2026</t>
        </is>
      </c>
      <c r="C6" s="24" t="inlineStr">
        <is>
          <t>02/02/2026</t>
        </is>
      </c>
      <c r="D6" s="24" t="n"/>
      <c r="E6" s="25">
        <f>C6-B6</f>
        <v/>
      </c>
      <c r="F6" s="25">
        <f>IF(D6="",IF(TODAY()&gt;C6,TODAY()-C6,0),IF(D6&gt;C6,D6-C6,0))</f>
        <v/>
      </c>
      <c r="G6" s="23" t="inlineStr">
        <is>
          <t>HD-NEG-ST</t>
        </is>
      </c>
      <c r="H6" s="23" t="inlineStr">
        <is>
          <t>Hoodie negro</t>
        </is>
      </c>
      <c r="I6" s="25" t="inlineStr">
        <is>
          <t>M</t>
        </is>
      </c>
      <c r="J6" s="23" t="inlineStr">
        <is>
          <t>Frente bordado</t>
        </is>
      </c>
      <c r="K6" s="26" t="n">
        <v>150</v>
      </c>
      <c r="L6" s="23" t="inlineStr">
        <is>
          <t>Nahomy Rousmery Guerrero</t>
        </is>
      </c>
      <c r="M6" s="23" t="inlineStr">
        <is>
          <t>WS</t>
        </is>
      </c>
      <c r="N6" s="23" t="n"/>
      <c r="O6" s="23" t="inlineStr">
        <is>
          <t>Vimenpaq Villa Mella</t>
        </is>
      </c>
      <c r="P6" s="23" t="inlineStr">
        <is>
          <t>WhatsApp</t>
        </is>
      </c>
      <c r="Q6" s="26" t="n">
        <v>2700</v>
      </c>
      <c r="R6" s="26" t="n">
        <v>0</v>
      </c>
      <c r="S6" s="26" t="n">
        <v>0</v>
      </c>
      <c r="T6" s="26">
        <f>Q6+R6+S6</f>
        <v/>
      </c>
      <c r="U6" s="26">
        <f>VLOOKUP(G6,'1. Catálogo'!$A$4:$G$7,7,FALSE)+K6+S6</f>
        <v/>
      </c>
      <c r="V6" s="26">
        <f>T6-U6</f>
        <v/>
      </c>
      <c r="W6" s="23" t="inlineStr">
        <is>
          <t>Popular</t>
        </is>
      </c>
      <c r="X6" s="23" t="inlineStr">
        <is>
          <t>Recibido</t>
        </is>
      </c>
      <c r="Y6" s="28" t="inlineStr">
        <is>
          <t>Entregado</t>
        </is>
      </c>
    </row>
    <row r="7">
      <c r="A7" s="27" t="inlineStr">
        <is>
          <t>P0006</t>
        </is>
      </c>
      <c r="B7" s="24" t="inlineStr">
        <is>
          <t>19/01/2026</t>
        </is>
      </c>
      <c r="C7" s="24" t="inlineStr">
        <is>
          <t>03/02/2026</t>
        </is>
      </c>
      <c r="D7" s="24" t="n"/>
      <c r="E7" s="25">
        <f>C7-B7</f>
        <v/>
      </c>
      <c r="F7" s="25">
        <f>IF(D7="",IF(TODAY()&gt;C7,TODAY()-C7,0),IF(D7&gt;C7,D7-C7,0))</f>
        <v/>
      </c>
      <c r="G7" s="23" t="inlineStr">
        <is>
          <t>TS-NEG-ST</t>
        </is>
      </c>
      <c r="H7" s="23" t="inlineStr">
        <is>
          <t>T-shirt negro</t>
        </is>
      </c>
      <c r="I7" s="25" t="inlineStr">
        <is>
          <t>L</t>
        </is>
      </c>
      <c r="J7" s="23" t="inlineStr">
        <is>
          <t>Frente bordado</t>
        </is>
      </c>
      <c r="K7" s="26" t="n">
        <v>150</v>
      </c>
      <c r="L7" s="23" t="inlineStr">
        <is>
          <t>Laiza Cesarina De la Cruz</t>
        </is>
      </c>
      <c r="M7" s="23" t="inlineStr">
        <is>
          <t>IG</t>
        </is>
      </c>
      <c r="N7" s="23" t="n"/>
      <c r="O7" s="23" t="inlineStr">
        <is>
          <t>Vimenpaq Tenares Hermanas Mirabal</t>
        </is>
      </c>
      <c r="P7" s="23" t="inlineStr">
        <is>
          <t>Instagram</t>
        </is>
      </c>
      <c r="Q7" s="26" t="n">
        <v>2000</v>
      </c>
      <c r="R7" s="26" t="n">
        <v>0</v>
      </c>
      <c r="S7" s="26" t="n">
        <v>0</v>
      </c>
      <c r="T7" s="26">
        <f>Q7+R7+S7</f>
        <v/>
      </c>
      <c r="U7" s="26">
        <f>VLOOKUP(G7,'1. Catálogo'!$A$4:$G$7,7,FALSE)+K7+S7</f>
        <v/>
      </c>
      <c r="V7" s="26">
        <f>T7-U7</f>
        <v/>
      </c>
      <c r="W7" s="23" t="inlineStr">
        <is>
          <t>Banreservas</t>
        </is>
      </c>
      <c r="X7" s="23" t="inlineStr">
        <is>
          <t>Recibido</t>
        </is>
      </c>
      <c r="Y7" s="28" t="inlineStr">
        <is>
          <t>Bloqueado - Sin Dirección</t>
        </is>
      </c>
    </row>
    <row r="8">
      <c r="A8" s="27" t="inlineStr">
        <is>
          <t>P0009</t>
        </is>
      </c>
      <c r="B8" s="24" t="inlineStr">
        <is>
          <t>19/01/2026</t>
        </is>
      </c>
      <c r="C8" s="24" t="inlineStr">
        <is>
          <t>03/02/2026</t>
        </is>
      </c>
      <c r="D8" s="23" t="n"/>
      <c r="E8" s="25">
        <f>C8-B8</f>
        <v/>
      </c>
      <c r="F8" s="25">
        <f>IF(D8="",IF(TODAY()&gt;C8,TODAY()-C8,0),IF(D8&gt;C8,D8-C8,0))</f>
        <v/>
      </c>
      <c r="G8" s="23" t="inlineStr">
        <is>
          <t>TS-NEG-ST</t>
        </is>
      </c>
      <c r="H8" s="23" t="inlineStr">
        <is>
          <t>T-shirt negro</t>
        </is>
      </c>
      <c r="I8" s="25" t="inlineStr">
        <is>
          <t>XL</t>
        </is>
      </c>
      <c r="J8" s="23" t="inlineStr">
        <is>
          <t>Frente bordado</t>
        </is>
      </c>
      <c r="K8" s="26" t="n">
        <v>150</v>
      </c>
      <c r="L8" s="23" t="inlineStr">
        <is>
          <t>Santa Ferrreira Dolores</t>
        </is>
      </c>
      <c r="M8" s="23" t="inlineStr">
        <is>
          <t>IG</t>
        </is>
      </c>
      <c r="N8" s="23" t="n"/>
      <c r="O8" s="23" t="inlineStr">
        <is>
          <t>BM Cargo de la Luperón</t>
        </is>
      </c>
      <c r="P8" s="23" t="inlineStr">
        <is>
          <t>Instagram</t>
        </is>
      </c>
      <c r="Q8" s="26" t="n">
        <v>2000</v>
      </c>
      <c r="R8" s="26" t="n">
        <v>0</v>
      </c>
      <c r="S8" s="26" t="n">
        <v>0</v>
      </c>
      <c r="T8" s="26">
        <f>Q8+R8+S8</f>
        <v/>
      </c>
      <c r="U8" s="26">
        <f>VLOOKUP(G8,'1. Catálogo'!$A$4:$G$7,7,FALSE)+K8+S8</f>
        <v/>
      </c>
      <c r="V8" s="26">
        <f>T8-U8</f>
        <v/>
      </c>
      <c r="W8" s="23" t="inlineStr">
        <is>
          <t>Banreservas</t>
        </is>
      </c>
      <c r="X8" s="23" t="inlineStr">
        <is>
          <t>Recibido</t>
        </is>
      </c>
      <c r="Y8" s="28" t="inlineStr">
        <is>
          <t>Listo para Envío</t>
        </is>
      </c>
    </row>
    <row r="9">
      <c r="A9" s="27" t="inlineStr">
        <is>
          <t>P0001</t>
        </is>
      </c>
      <c r="B9" s="24" t="inlineStr">
        <is>
          <t>22/01/2026</t>
        </is>
      </c>
      <c r="C9" s="24" t="inlineStr">
        <is>
          <t>07/02/2026</t>
        </is>
      </c>
      <c r="D9" s="24" t="n"/>
      <c r="E9" s="25">
        <f>C9-B9</f>
        <v/>
      </c>
      <c r="F9" s="25">
        <f>IF(D9="",IF(TODAY()&gt;C9,TODAY()-C9,0),IF(D9&gt;C9,D9-C9,0))</f>
        <v/>
      </c>
      <c r="G9" s="23" t="inlineStr">
        <is>
          <t>TS-BL-OS</t>
        </is>
      </c>
      <c r="H9" s="23" t="inlineStr">
        <is>
          <t>T-shirt blanco Oversize</t>
        </is>
      </c>
      <c r="I9" s="25" t="inlineStr">
        <is>
          <t>L</t>
        </is>
      </c>
      <c r="J9" s="23" t="inlineStr">
        <is>
          <t>Dos bordados en frente y uno en la espalda</t>
        </is>
      </c>
      <c r="K9" s="26" t="n">
        <v>400</v>
      </c>
      <c r="L9" s="23" t="inlineStr">
        <is>
          <t>Ana</t>
        </is>
      </c>
      <c r="M9" s="23" t="inlineStr">
        <is>
          <t>WS</t>
        </is>
      </c>
      <c r="N9" s="23" t="n"/>
      <c r="O9" s="23" t="inlineStr">
        <is>
          <t>Vimenpaq</t>
        </is>
      </c>
      <c r="P9" s="23" t="inlineStr">
        <is>
          <t>WhatsApp</t>
        </is>
      </c>
      <c r="Q9" s="26" t="n">
        <v>2000</v>
      </c>
      <c r="R9" s="26" t="n">
        <v>400</v>
      </c>
      <c r="S9" s="26" t="n">
        <v>750</v>
      </c>
      <c r="T9" s="26">
        <f>Q9+R9+S9</f>
        <v/>
      </c>
      <c r="U9" s="26">
        <f>VLOOKUP(G9,'1. Catálogo'!$A$4:$G$7,7,FALSE)+K9+S9</f>
        <v/>
      </c>
      <c r="V9" s="26">
        <f>T9-U9</f>
        <v/>
      </c>
      <c r="W9" s="23" t="inlineStr">
        <is>
          <t>Popular</t>
        </is>
      </c>
      <c r="X9" s="23" t="inlineStr">
        <is>
          <t>Recibido</t>
        </is>
      </c>
      <c r="Y9" s="28" t="inlineStr">
        <is>
          <t>En Producción</t>
        </is>
      </c>
    </row>
    <row r="10">
      <c r="A10" s="27" t="inlineStr">
        <is>
          <t>P0007</t>
        </is>
      </c>
      <c r="B10" s="24" t="inlineStr">
        <is>
          <t>24/01/2026</t>
        </is>
      </c>
      <c r="C10" s="24" t="inlineStr">
        <is>
          <t>07/02/2026</t>
        </is>
      </c>
      <c r="D10" s="24" t="n"/>
      <c r="E10" s="25">
        <f>C10-B10</f>
        <v/>
      </c>
      <c r="F10" s="25">
        <f>IF(D10="",IF(TODAY()&gt;C10,TODAY()-C10,0),IF(D10&gt;C10,D10-C10,0))</f>
        <v/>
      </c>
      <c r="G10" s="23" t="inlineStr">
        <is>
          <t>TS-NEG-ST</t>
        </is>
      </c>
      <c r="H10" s="23" t="inlineStr">
        <is>
          <t>T-shirt negro</t>
        </is>
      </c>
      <c r="I10" s="25" t="inlineStr">
        <is>
          <t>S</t>
        </is>
      </c>
      <c r="J10" s="23" t="inlineStr">
        <is>
          <t>Frente bordado</t>
        </is>
      </c>
      <c r="K10" s="26" t="n">
        <v>150</v>
      </c>
      <c r="L10" s="23" t="inlineStr">
        <is>
          <t>Luz Rosmeri Morrobel</t>
        </is>
      </c>
      <c r="M10" s="23" t="inlineStr">
        <is>
          <t>IG</t>
        </is>
      </c>
      <c r="N10" s="23" t="n"/>
      <c r="O10" s="23" t="inlineStr">
        <is>
          <t>Pendiente</t>
        </is>
      </c>
      <c r="P10" s="23" t="inlineStr">
        <is>
          <t>Instagram</t>
        </is>
      </c>
      <c r="Q10" s="26" t="n">
        <v>1952</v>
      </c>
      <c r="R10" s="26" t="n">
        <v>0</v>
      </c>
      <c r="S10" s="26" t="n">
        <v>0</v>
      </c>
      <c r="T10" s="26">
        <f>Q10+R10+S10</f>
        <v/>
      </c>
      <c r="U10" s="26">
        <f>VLOOKUP(G10,'1. Catálogo'!$A$4:$G$7,7,FALSE)+K10+S10</f>
        <v/>
      </c>
      <c r="V10" s="26">
        <f>T10-U10</f>
        <v/>
      </c>
      <c r="W10" s="23" t="inlineStr">
        <is>
          <t>BHD</t>
        </is>
      </c>
      <c r="X10" s="23" t="inlineStr">
        <is>
          <t>Recibido</t>
        </is>
      </c>
      <c r="Y10" s="28" t="inlineStr">
        <is>
          <t>Bloqueado - Sin Dirección</t>
        </is>
      </c>
    </row>
    <row r="11">
      <c r="A11" s="27" t="inlineStr">
        <is>
          <t>P0005</t>
        </is>
      </c>
      <c r="B11" s="24" t="inlineStr">
        <is>
          <t>27/01/2026</t>
        </is>
      </c>
      <c r="C11" s="24" t="inlineStr">
        <is>
          <t>09/02/2026</t>
        </is>
      </c>
      <c r="D11" s="24" t="n"/>
      <c r="E11" s="25">
        <f>C11-B11</f>
        <v/>
      </c>
      <c r="F11" s="25">
        <f>IF(D11="",IF(TODAY()&gt;C11,TODAY()-C11,0),IF(D11&gt;C11,D11-C11,0))</f>
        <v/>
      </c>
      <c r="G11" s="23" t="inlineStr">
        <is>
          <t>HD-NEG-ST</t>
        </is>
      </c>
      <c r="H11" s="23" t="inlineStr">
        <is>
          <t>Hoodie negro</t>
        </is>
      </c>
      <c r="I11" s="25" t="inlineStr">
        <is>
          <t>M</t>
        </is>
      </c>
      <c r="J11" s="23" t="inlineStr">
        <is>
          <t>Un bordado en frente y uno espalda</t>
        </is>
      </c>
      <c r="K11" s="26" t="n">
        <v>250</v>
      </c>
      <c r="L11" s="23" t="inlineStr">
        <is>
          <t>Alessia Previtali</t>
        </is>
      </c>
      <c r="M11" s="23" t="inlineStr">
        <is>
          <t>WS</t>
        </is>
      </c>
      <c r="N11" s="23" t="n"/>
      <c r="O11" s="23" t="inlineStr">
        <is>
          <t>Vimenpaq Bayahibe</t>
        </is>
      </c>
      <c r="P11" s="23" t="inlineStr">
        <is>
          <t>WhatsApp</t>
        </is>
      </c>
      <c r="Q11" s="26" t="n">
        <v>2700</v>
      </c>
      <c r="R11" s="26" t="n">
        <v>250</v>
      </c>
      <c r="S11" s="26" t="n">
        <v>750</v>
      </c>
      <c r="T11" s="26">
        <f>Q11+R11+S11</f>
        <v/>
      </c>
      <c r="U11" s="26">
        <f>VLOOKUP(G11,'1. Catálogo'!$A$4:$G$7,7,FALSE)+K11+S11</f>
        <v/>
      </c>
      <c r="V11" s="26">
        <f>T11-U11</f>
        <v/>
      </c>
      <c r="W11" s="23" t="inlineStr">
        <is>
          <t>Banreservas</t>
        </is>
      </c>
      <c r="X11" s="23" t="inlineStr">
        <is>
          <t>Recibido</t>
        </is>
      </c>
      <c r="Y11" s="28" t="inlineStr">
        <is>
          <t>En Producción</t>
        </is>
      </c>
    </row>
    <row r="12">
      <c r="A12" s="32" t="inlineStr">
        <is>
          <t>P0004</t>
        </is>
      </c>
      <c r="B12" s="33" t="inlineStr">
        <is>
          <t>30/01/2026</t>
        </is>
      </c>
      <c r="C12" s="33" t="inlineStr">
        <is>
          <t>14/02/2026</t>
        </is>
      </c>
      <c r="D12" s="33" t="n"/>
      <c r="E12" s="35">
        <f>C12-B12</f>
        <v/>
      </c>
      <c r="F12" s="35">
        <f>IF(D12="",IF(TODAY()&gt;C12,TODAY()-C12,0),IF(D12&gt;C12,D12-C12,0))</f>
        <v/>
      </c>
      <c r="G12" s="34" t="inlineStr">
        <is>
          <t>TS-NEG-ST</t>
        </is>
      </c>
      <c r="H12" s="34" t="inlineStr">
        <is>
          <t>T-shirt negro</t>
        </is>
      </c>
      <c r="I12" s="35" t="inlineStr">
        <is>
          <t>M</t>
        </is>
      </c>
      <c r="J12" s="34" t="inlineStr">
        <is>
          <t>Frente bordado</t>
        </is>
      </c>
      <c r="K12" s="36" t="n">
        <v>150</v>
      </c>
      <c r="L12" s="34" t="inlineStr">
        <is>
          <t>Camila Joselin</t>
        </is>
      </c>
      <c r="M12" s="34" t="inlineStr">
        <is>
          <t>WS</t>
        </is>
      </c>
      <c r="N12" s="34" t="n"/>
      <c r="O12" s="34" t="inlineStr">
        <is>
          <t>Pendiente</t>
        </is>
      </c>
      <c r="P12" s="34" t="inlineStr">
        <is>
          <t>WhatsApp</t>
        </is>
      </c>
      <c r="Q12" s="36" t="n">
        <v>2000</v>
      </c>
      <c r="R12" s="36" t="n">
        <v>0</v>
      </c>
      <c r="S12" s="36" t="n">
        <v>0</v>
      </c>
      <c r="T12" s="36">
        <f>Q12+R12+S12</f>
        <v/>
      </c>
      <c r="U12" s="36">
        <f>VLOOKUP(G12,'1. Catálogo'!$A$4:$G$7,7,FALSE)+K12+S12</f>
        <v/>
      </c>
      <c r="V12" s="36">
        <f>T12-U12</f>
        <v/>
      </c>
      <c r="W12" s="34" t="inlineStr">
        <is>
          <t>Banreservas</t>
        </is>
      </c>
      <c r="X12" s="34" t="inlineStr">
        <is>
          <t>Recibido</t>
        </is>
      </c>
      <c r="Y12" s="37" t="inlineStr">
        <is>
          <t>Bloqueado - Sin Dirección</t>
        </is>
      </c>
    </row>
  </sheetData>
  <mergeCells count="1">
    <mergeCell ref="A1:U1"/>
  </mergeCells>
  <conditionalFormatting sqref="F4:F1000">
    <cfRule type="cellIs" priority="1" operator="greaterThan" dxfId="30">
      <formula>0</formula>
    </cfRule>
  </conditionalFormatting>
  <conditionalFormatting sqref="Y4:Y1000">
    <cfRule type="expression" priority="2" dxfId="30">
      <formula>ISNUMBER(SEARCH("Bloqueado",$Y4))</formula>
    </cfRule>
    <cfRule type="expression" priority="3" dxfId="29">
      <formula>$Y4="Entregado"</formula>
    </cfRule>
    <cfRule type="expression" priority="4" dxfId="31">
      <formula>$Y4="En Producción"</formula>
    </cfRule>
    <cfRule type="expression" priority="6" dxfId="30">
      <formula>ISNUMBER(SEARCH("Bloqueado",$Y4))</formula>
    </cfRule>
    <cfRule type="expression" priority="7" dxfId="29">
      <formula>$Y4="Entregado"</formula>
    </cfRule>
    <cfRule type="expression" priority="8" dxfId="31">
      <formula>$Y4="En Producción"</formula>
    </cfRule>
  </conditionalFormatting>
  <dataValidations count="5">
    <dataValidation sqref="I4:I1000" showDropDown="0" showInputMessage="0" showErrorMessage="0" allowBlank="0" type="list">
      <formula1>"XS,S,M,L,XL,XXL"</formula1>
    </dataValidation>
    <dataValidation sqref="P4:P1000" showDropDown="0" showInputMessage="0" showErrorMessage="0" allowBlank="0" type="list">
      <formula1>"WhatsApp,Instagram,Facebook,Referido,Tienda Física"</formula1>
    </dataValidation>
    <dataValidation sqref="W4:W1000" showDropDown="0" showInputMessage="0" showErrorMessage="0" allowBlank="0" type="list">
      <formula1>"Popular,Banreservas,BHD,Efectivo,Transferencia"</formula1>
    </dataValidation>
    <dataValidation sqref="X4:X1000" showDropDown="0" showInputMessage="0" showErrorMessage="0" allowBlank="0" type="list">
      <formula1>"Recibido,Pendiente,Parcial"</formula1>
    </dataValidation>
    <dataValidation sqref="Y4:Y1000" showDropDown="0" showInputMessage="0" showErrorMessage="0" allowBlank="0" type="list">
      <formula1>"En Producción,Entregado,Bloqueado - Sin Dirección,Cancelado,Pendiente Pago"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10" defaultColWidth="8.9375" defaultRowHeight="14.35"/>
  <cols>
    <col width="25" customWidth="1" style="18" min="2" max="2"/>
    <col width="15" customWidth="1" style="18" min="3" max="3"/>
    <col width="20" customWidth="1" style="18" min="5" max="5"/>
    <col width="15" customWidth="1" style="18" min="6" max="6"/>
  </cols>
  <sheetData>
    <row r="1" ht="30" customHeight="1" s="18">
      <c r="A1" s="20" t="inlineStr">
        <is>
          <t>DASHBOARD EJECUTIVO</t>
        </is>
      </c>
    </row>
    <row r="3" ht="15.35" customHeight="1" s="18">
      <c r="B3" s="19" t="inlineStr">
        <is>
          <t>INDICADORES CLAVE</t>
        </is>
      </c>
      <c r="E3" s="19" t="inlineStr">
        <is>
          <t>VENTAS POR CANAL</t>
        </is>
      </c>
    </row>
    <row r="4">
      <c r="B4" s="9" t="inlineStr">
        <is>
          <t>Total Pedidos:</t>
        </is>
      </c>
      <c r="C4" s="10">
        <f>COUNTA('2. Pedidos'!A4:A1000)</f>
        <v/>
      </c>
      <c r="E4" t="inlineStr">
        <is>
          <t>WhatsApp</t>
        </is>
      </c>
      <c r="F4" s="11">
        <f>SUMIF('2. Pedidos'!P:P,"WhatsApp",'2. Pedidos'!T:T)</f>
        <v/>
      </c>
    </row>
    <row r="5">
      <c r="B5" s="9" t="inlineStr">
        <is>
          <t>Ventas Totales:</t>
        </is>
      </c>
      <c r="C5" s="10">
        <f>SUM('2. Pedidos'!T4:T1000)</f>
        <v/>
      </c>
      <c r="E5" t="inlineStr">
        <is>
          <t>Instagram</t>
        </is>
      </c>
      <c r="F5" s="11">
        <f>SUMIF('2. Pedidos'!P:P,"Instagram",'2. Pedidos'!T:T)</f>
        <v/>
      </c>
    </row>
    <row r="6">
      <c r="B6" s="9" t="inlineStr">
        <is>
          <t>Costos Totales:</t>
        </is>
      </c>
      <c r="C6" s="10">
        <f>SUM('2. Pedidos'!U4:U1000)</f>
        <v/>
      </c>
      <c r="E6" t="inlineStr">
        <is>
          <t>Facebook</t>
        </is>
      </c>
      <c r="F6" s="11">
        <f>SUMIF('2. Pedidos'!P:P,"Facebook",'2. Pedidos'!T:T)</f>
        <v/>
      </c>
    </row>
    <row r="7">
      <c r="B7" s="9" t="inlineStr">
        <is>
          <t>Ganancia Neta:</t>
        </is>
      </c>
      <c r="C7" s="10">
        <f>SUM('2. Pedidos'!V4:V1000)</f>
        <v/>
      </c>
      <c r="E7" t="inlineStr">
        <is>
          <t>Referido</t>
        </is>
      </c>
      <c r="F7" s="11">
        <f>SUMIF('2. Pedidos'!P:P,"Referido",'2. Pedidos'!T:T)</f>
        <v/>
      </c>
    </row>
    <row r="8">
      <c r="B8" s="9" t="inlineStr">
        <is>
          <t>Margen Promedio:</t>
        </is>
      </c>
      <c r="C8" s="10">
        <f>AVERAGE('2. Pedidos'!V4:V1000/'2. Pedidos'!T4:T1000)</f>
        <v/>
      </c>
    </row>
    <row r="9" ht="15.35" customHeight="1" s="18">
      <c r="B9" s="9" t="inlineStr">
        <is>
          <t>Ticket Promedio:</t>
        </is>
      </c>
      <c r="C9" s="10">
        <f>AVERAGE('2. Pedidos'!T4:T1000)</f>
        <v/>
      </c>
      <c r="E9" s="19" t="inlineStr">
        <is>
          <t>TOP PRODUCTOS</t>
        </is>
      </c>
    </row>
    <row r="10">
      <c r="E10" t="inlineStr">
        <is>
          <t>TS-NEG-ST</t>
        </is>
      </c>
      <c r="F10">
        <f>COUNTIF('2. Pedidos'!G:G,"TS-NEG-ST")</f>
        <v/>
      </c>
    </row>
    <row r="11">
      <c r="E11" t="inlineStr">
        <is>
          <t>HD-NEG-ST</t>
        </is>
      </c>
      <c r="F11">
        <f>COUNTIF('2. Pedidos'!G:G,"HD-NEG-ST")</f>
        <v/>
      </c>
    </row>
    <row r="12" ht="15.35" customHeight="1" s="18">
      <c r="B12" s="19" t="inlineStr">
        <is>
          <t>ALERTAS OPERATIVAS</t>
        </is>
      </c>
      <c r="E12" t="inlineStr">
        <is>
          <t>TS-BL-OS</t>
        </is>
      </c>
      <c r="F12">
        <f>COUNTIF('2. Pedidos'!G:G,"TS-BL-OS")</f>
        <v/>
      </c>
    </row>
    <row r="13">
      <c r="B13" s="12" t="inlineStr">
        <is>
          <t>🔴 Pedidos Atrasados:</t>
        </is>
      </c>
      <c r="C13" s="12">
        <f>COUNTIF('2. Pedidos'!F4:F1000,"&gt;0")</f>
        <v/>
      </c>
    </row>
    <row r="14">
      <c r="B14" s="12" t="inlineStr">
        <is>
          <t>⚠️ Sin Dirección:</t>
        </is>
      </c>
      <c r="C14" s="12">
        <f>COUNTIF('2. Pedidos'!O4:O1000,"PENDIENTE")</f>
        <v/>
      </c>
    </row>
    <row r="15">
      <c r="B15" s="12" t="inlineStr">
        <is>
          <t>📦 En Producción:</t>
        </is>
      </c>
      <c r="C15" s="12">
        <f>COUNTIF('2. Pedidos'!Y4:Y1000,"En Producción")</f>
        <v/>
      </c>
    </row>
    <row r="16">
      <c r="B16" s="12" t="inlineStr">
        <is>
          <t>✅ Entregados:</t>
        </is>
      </c>
      <c r="C16" s="12">
        <f>COUNTIF('2. Pedidos'!Y4:Y1000,"Entregado")</f>
        <v/>
      </c>
    </row>
    <row r="17">
      <c r="B17" s="12" t="inlineStr">
        <is>
          <t>💰 Pagos Pendientes:</t>
        </is>
      </c>
      <c r="C17" s="12">
        <f>COUNTIF('2. Pedidos'!X4:X1000,"Pendiente")</f>
        <v/>
      </c>
    </row>
  </sheetData>
  <mergeCells count="5">
    <mergeCell ref="B3:C3"/>
    <mergeCell ref="A1:F1"/>
    <mergeCell ref="E9:F9"/>
    <mergeCell ref="E3:F3"/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:J1"/>
    </sheetView>
  </sheetViews>
  <sheetFormatPr baseColWidth="10" defaultColWidth="8.9375" defaultRowHeight="14.35"/>
  <cols>
    <col width="12" customWidth="1" style="18" min="1" max="1"/>
    <col width="30" customWidth="1" style="18" min="2" max="2"/>
    <col width="15" customWidth="1" style="18" min="3" max="3"/>
    <col width="25" customWidth="1" style="18" min="4" max="4"/>
    <col width="30" customWidth="1" style="18" min="5" max="5"/>
    <col width="15" customWidth="1" style="18" min="6" max="6"/>
    <col width="12" customWidth="1" style="18" min="7" max="7"/>
    <col width="15" customWidth="1" style="18" min="8" max="10"/>
  </cols>
  <sheetData>
    <row r="1" ht="20" customHeight="1" s="18">
      <c r="A1" s="20" t="inlineStr">
        <is>
          <t>BASE DE DATOS DE CLIENTES</t>
        </is>
      </c>
    </row>
    <row r="3" ht="27.35" customHeight="1" s="18">
      <c r="A3" s="1" t="inlineStr">
        <is>
          <t>ID Cliente</t>
        </is>
      </c>
      <c r="B3" s="1" t="inlineStr">
        <is>
          <t>Nombre Completo</t>
        </is>
      </c>
      <c r="C3" s="1" t="inlineStr">
        <is>
          <t>Teléfono</t>
        </is>
      </c>
      <c r="D3" s="1" t="inlineStr">
        <is>
          <t>Email</t>
        </is>
      </c>
      <c r="E3" s="1" t="inlineStr">
        <is>
          <t>Dirección Principal</t>
        </is>
      </c>
      <c r="F3" s="1" t="inlineStr">
        <is>
          <t>Canal Preferido</t>
        </is>
      </c>
      <c r="G3" s="1" t="inlineStr">
        <is>
          <t>Total Pedidos</t>
        </is>
      </c>
      <c r="H3" s="1" t="inlineStr">
        <is>
          <t>Total Comprado</t>
        </is>
      </c>
      <c r="I3" s="1" t="inlineStr">
        <is>
          <t>Último Pedido</t>
        </is>
      </c>
      <c r="J3" s="1" t="inlineStr">
        <is>
          <t>Tipo Cliente</t>
        </is>
      </c>
    </row>
    <row r="4">
      <c r="A4" s="8" t="inlineStr">
        <is>
          <t>C001</t>
        </is>
      </c>
      <c r="B4" s="8" t="inlineStr">
        <is>
          <t>Ana</t>
        </is>
      </c>
      <c r="C4" s="8" t="inlineStr">
        <is>
          <t>809-555-0101</t>
        </is>
      </c>
      <c r="D4" s="8" t="inlineStr">
        <is>
          <t>ana@email.com</t>
        </is>
      </c>
      <c r="E4" s="8" t="inlineStr">
        <is>
          <t>Vimenpaq</t>
        </is>
      </c>
      <c r="F4" s="8" t="inlineStr">
        <is>
          <t>WhatsApp</t>
        </is>
      </c>
      <c r="G4" s="8">
        <f>COUNTIF('2. Pedidos'!L:L,B4)</f>
        <v/>
      </c>
      <c r="H4" s="13">
        <f>SUMIF('2. Pedidos'!L:L,B4,'2. Pedidos'!T:T)</f>
        <v/>
      </c>
      <c r="I4" s="14">
        <f>_xludf.MAXIFS('2. Pedidos'!B:B,'2. Pedidos'!L:L,B4)</f>
        <v/>
      </c>
      <c r="J4" s="8">
        <f>IF(G4&gt;=5,"VIP",IF(G4&gt;=3,"Frecuente","Nuevo"))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10" defaultColWidth="8.9375" defaultRowHeight="14.35"/>
  <cols>
    <col width="12" customWidth="1" style="18" min="1" max="1"/>
    <col width="30" customWidth="1" style="18" min="2" max="2"/>
    <col width="12" customWidth="1" style="18" min="3" max="3"/>
    <col width="13" customWidth="1" style="18" min="4" max="4"/>
    <col width="15" customWidth="1" style="18" min="5" max="5"/>
    <col width="12" customWidth="1" style="18" min="6" max="6"/>
    <col width="15" customWidth="1" style="18" min="7" max="7"/>
    <col width="18" customWidth="1" style="18" min="8" max="8"/>
  </cols>
  <sheetData>
    <row r="1" ht="20" customHeight="1" s="18">
      <c r="A1" s="20" t="inlineStr">
        <is>
          <t>CONTROL DE INVENTARIO</t>
        </is>
      </c>
    </row>
    <row r="3" ht="27.35" customHeight="1" s="18">
      <c r="A3" s="1" t="inlineStr">
        <is>
          <t>SKU</t>
        </is>
      </c>
      <c r="B3" s="1" t="inlineStr">
        <is>
          <t>Producto</t>
        </is>
      </c>
      <c r="C3" s="1" t="inlineStr">
        <is>
          <t>Stock Actual</t>
        </is>
      </c>
      <c r="D3" s="1" t="inlineStr">
        <is>
          <t>Stock Mínimo</t>
        </is>
      </c>
      <c r="E3" s="1" t="inlineStr">
        <is>
          <t>Estado</t>
        </is>
      </c>
      <c r="F3" s="1" t="inlineStr">
        <is>
          <t>En Pedidos</t>
        </is>
      </c>
      <c r="G3" s="1" t="inlineStr">
        <is>
          <t>Stock Disponible</t>
        </is>
      </c>
      <c r="H3" s="1" t="inlineStr">
        <is>
          <t>Reorden Necesario</t>
        </is>
      </c>
    </row>
    <row r="4">
      <c r="A4" s="5" t="inlineStr">
        <is>
          <t>TS-BL-OS</t>
        </is>
      </c>
      <c r="B4" s="5" t="inlineStr">
        <is>
          <t>T-shirt Blanco Oversize</t>
        </is>
      </c>
      <c r="C4" s="5" t="n">
        <v>15</v>
      </c>
      <c r="D4" s="5" t="n">
        <v>10</v>
      </c>
      <c r="E4" s="5">
        <f>IF(C4&lt;D4,"⚠️ BAJO",IF(C4&lt;D4*2,"✅ OK","📦 EXCESO"))</f>
        <v/>
      </c>
      <c r="F4" s="5">
        <f>COUNTIF('2. Pedidos'!G:G,A4)</f>
        <v/>
      </c>
      <c r="G4" s="5">
        <f>C4-F4</f>
        <v/>
      </c>
      <c r="H4" s="5">
        <f>IF(G4&lt;D4,"SÍ","NO")</f>
        <v/>
      </c>
    </row>
    <row r="5">
      <c r="A5" s="5" t="inlineStr">
        <is>
          <t>TS-NEG-ST</t>
        </is>
      </c>
      <c r="B5" s="5" t="inlineStr">
        <is>
          <t>T-shirt Negro Standard</t>
        </is>
      </c>
      <c r="C5" s="5" t="n">
        <v>8</v>
      </c>
      <c r="D5" s="5" t="n">
        <v>10</v>
      </c>
      <c r="E5" s="5">
        <f>IF(C5&lt;D5,"⚠️ BAJO",IF(C5&lt;D5*2,"✅ OK","📦 EXCESO"))</f>
        <v/>
      </c>
      <c r="F5" s="5">
        <f>COUNTIF('2. Pedidos'!G:G,A5)</f>
        <v/>
      </c>
      <c r="G5" s="5">
        <f>C5-F5</f>
        <v/>
      </c>
      <c r="H5" s="5">
        <f>IF(G5&lt;D5,"SÍ","NO")</f>
        <v/>
      </c>
    </row>
    <row r="6">
      <c r="A6" s="5" t="inlineStr">
        <is>
          <t>HD-NEG-ST</t>
        </is>
      </c>
      <c r="B6" s="5" t="inlineStr">
        <is>
          <t>Hoodie Negro Standard</t>
        </is>
      </c>
      <c r="C6" s="5" t="n">
        <v>5</v>
      </c>
      <c r="D6" s="5" t="n">
        <v>8</v>
      </c>
      <c r="E6" s="5">
        <f>IF(C6&lt;D6,"⚠️ BAJO",IF(C6&lt;D6*2,"✅ OK","📦 EXCESO"))</f>
        <v/>
      </c>
      <c r="F6" s="5">
        <f>COUNTIF('2. Pedidos'!G:G,A6)</f>
        <v/>
      </c>
      <c r="G6" s="5">
        <f>C6-F6</f>
        <v/>
      </c>
      <c r="H6" s="5">
        <f>IF(G6&lt;D6,"SÍ","NO")</f>
        <v/>
      </c>
    </row>
  </sheetData>
  <mergeCells count="1">
    <mergeCell ref="A1:H1"/>
  </mergeCells>
  <conditionalFormatting sqref="E4:E1000">
    <cfRule type="expression" priority="1" dxfId="30">
      <formula>ISNUMBER(SEARCH("BAJO",$E4))</formula>
    </cfRule>
    <cfRule type="expression" priority="2" dxfId="29">
      <formula>ISNUMBER(SEARCH("OK",$E4))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8.9375" defaultRowHeight="14.35"/>
  <cols>
    <col width="25" customWidth="1" style="18" min="2" max="2"/>
    <col width="15" customWidth="1" style="18" min="3" max="3"/>
    <col width="12" customWidth="1" style="18" min="4" max="4"/>
  </cols>
  <sheetData>
    <row r="1" ht="20" customHeight="1" s="18">
      <c r="A1" s="20" t="inlineStr">
        <is>
          <t>ANÁLISIS FINANCIERO DETALLADO</t>
        </is>
      </c>
    </row>
    <row r="3" ht="15.35" customHeight="1" s="18">
      <c r="B3" s="19" t="inlineStr">
        <is>
          <t>RESUMEN ENERO 2026</t>
        </is>
      </c>
    </row>
    <row r="4">
      <c r="B4" s="15" t="inlineStr">
        <is>
          <t>Ingresos Brutos:</t>
        </is>
      </c>
      <c r="C4" s="11">
        <f>SUMIFS('2. Pedidos'!T:T,'2. Pedidos'!B:B,"&gt;="&amp;DATE(2026,1,1),'2. Pedidos'!B:B,"&lt;"&amp;DATE(2026,2,1))</f>
        <v/>
      </c>
    </row>
    <row r="5">
      <c r="B5" s="15" t="inlineStr">
        <is>
          <t>Costos Totales:</t>
        </is>
      </c>
      <c r="C5" s="11">
        <f>SUMIFS('2. Pedidos'!U:U,'2. Pedidos'!B:B,"&gt;="&amp;DATE(2026,1,1),'2. Pedidos'!B:B,"&lt;"&amp;DATE(2026,2,1))</f>
        <v/>
      </c>
    </row>
    <row r="6">
      <c r="B6" s="15" t="inlineStr">
        <is>
          <t>Ganancia Neta:</t>
        </is>
      </c>
      <c r="C6" s="11">
        <f>C4-C5</f>
        <v/>
      </c>
    </row>
    <row r="7">
      <c r="B7" s="15" t="inlineStr">
        <is>
          <t>Margen Neto:</t>
        </is>
      </c>
      <c r="C7" s="16">
        <f>C6/C4</f>
        <v/>
      </c>
    </row>
    <row r="8">
      <c r="B8" s="15" t="inlineStr">
        <is>
          <t>Pedidos del Mes:</t>
        </is>
      </c>
      <c r="C8">
        <f>COUNTIFS('2. Pedidos'!B:B,"&gt;="&amp;DATE(2026,1,1),'2. Pedidos'!B:B,"&lt;"&amp;DATE(2026,2,1))</f>
        <v/>
      </c>
    </row>
    <row r="9">
      <c r="B9" s="15" t="inlineStr">
        <is>
          <t>Ticket Promedio:</t>
        </is>
      </c>
      <c r="C9" s="11">
        <f>C4/C8</f>
        <v/>
      </c>
    </row>
    <row r="12" ht="15.35" customHeight="1" s="18">
      <c r="B12" s="19" t="inlineStr">
        <is>
          <t>ANÁLISIS POR BANCO</t>
        </is>
      </c>
      <c r="C12" t="inlineStr">
        <is>
          <t>Total Vendido</t>
        </is>
      </c>
      <c r="D12" t="inlineStr">
        <is>
          <t>Cantidad</t>
        </is>
      </c>
    </row>
    <row r="13">
      <c r="B13" t="inlineStr">
        <is>
          <t>Popular</t>
        </is>
      </c>
      <c r="C13" s="11">
        <f>SUMIF('2. Pedidos'!W:W,"Popular",'2. Pedidos'!T:T)</f>
        <v/>
      </c>
      <c r="D13">
        <f>COUNTIF('2. Pedidos'!W:W,"Popular")</f>
        <v/>
      </c>
    </row>
    <row r="14">
      <c r="B14" t="inlineStr">
        <is>
          <t>Banreservas</t>
        </is>
      </c>
      <c r="C14" s="11">
        <f>SUMIF('2. Pedidos'!W:W,"Banreservas",'2. Pedidos'!T:T)</f>
        <v/>
      </c>
      <c r="D14">
        <f>COUNTIF('2. Pedidos'!W:W,"Banreservas")</f>
        <v/>
      </c>
    </row>
    <row r="15">
      <c r="B15" t="inlineStr">
        <is>
          <t>BHD</t>
        </is>
      </c>
      <c r="C15" s="11">
        <f>SUMIF('2. Pedidos'!W:W,"BHD",'2. Pedidos'!T:T)</f>
        <v/>
      </c>
      <c r="D15">
        <f>COUNTIF('2. Pedidos'!W:W,"BHD")</f>
        <v/>
      </c>
    </row>
    <row r="16">
      <c r="B16" t="inlineStr">
        <is>
          <t>Efectivo</t>
        </is>
      </c>
      <c r="C16" s="11">
        <f>SUMIF('2. Pedidos'!W:W,"Efectivo",'2. Pedidos'!T:T)</f>
        <v/>
      </c>
      <c r="D16">
        <f>COUNTIF('2. Pedidos'!W:W,"Efectivo")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10" defaultColWidth="8.9375" defaultRowHeight="14.35"/>
  <cols>
    <col width="100" customWidth="1" style="18" min="1" max="1"/>
  </cols>
  <sheetData>
    <row r="1" ht="20" customHeight="1" s="18">
      <c r="A1" s="22" t="inlineStr">
        <is>
          <t>GUÍA DE USO DEL SISTEMA</t>
        </is>
      </c>
    </row>
    <row r="3" ht="409.6" customHeight="1" s="18">
      <c r="A3" s="21" t="inlineStr">
        <is>
          <t xml:space="preserve">
📋 INSTRUCCIONES DE USO
1. CATÁLOGO DE PRODUCTOS:
   - Actualiza precios y costos reales de tus productos
   - Añade nuevos productos según sea necesario
   - El sistema calculará automáticamente márgenes
2. REGISTRO DE PEDIDOS:
   - Usa las listas desplegables para evitar errores
   - El sistema calcula automáticamente costos y ganancias
   - Las fechas se validan automáticamente
   - Colores indican el estado:
     🟢 Verde = Entregado
     🟡 Amarillo = En producción
     🔴 Rojo = Bloqueado o atrasado
3. DASHBOARD:
   - Actualización automática de todas las métricas
   - Revisa diariamente las alertas operativas
   - Identifica productos más vendidos
4. CLIENTES:
   - Se actualiza automáticamente con cada pedido
   - Clasifica clientes por frecuencia de compra
   - Identifica a tus mejores clientes (VIP)
5. INVENTARIO:
   - Actualiza stock manualmente después de producción
   - El sistema te alertará cuando esté bajo
   - Planifica reabastecimiento según demanda
6. FINANZAS:
   - Análisis mensual automático
   - Compara diferentes períodos
   - Identifica tendencias de ventas
⚠️ IMPORTANTE:
- NO elimines las filas de encabezados
- NO modifiques las fórmulas a menos que sepas lo que haces
- Haz backup semanal del archivo
- Completa TODOS los campos obligatorios
🎯 CAMPOS OBLIGATORIOS EN PEDIDOS:
✓ SKU del producto (debe existir en catálogo)
✓ Fecha de pago
✓ Fecha compromiso de envío
✓ Cliente (nombre completo)
✓ Teléfono
✓ Dirección de envío
✓ Banco/método de pago
✓ Estatus de pago
✓ Estatus de producción
💡 TIPS PARA MAXIMIZAR GANANCIAS:
- Completa los costos reales en el catálogo
- Revisa los márgenes por producto
- Identifica productos de bajo margen
- Optimiza tiempos de producción
- Reduce pedidos bloqueados (sin dirección)
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2">
    <mergeCell ref="A3:D50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2026-02-07T02:48:28Z</dcterms:created>
  <dcterms:modified xsi:type="dcterms:W3CDTF">2026-02-08T15:49:05Z</dcterms:modified>
  <cp:lastModifiedBy>DAYAN  PANIAGUA ROBLES</cp:lastModifiedBy>
</cp:coreProperties>
</file>